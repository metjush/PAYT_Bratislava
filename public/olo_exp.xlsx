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93b72959587e28/PAYT_ANALYSIS/model/public/"/>
    </mc:Choice>
  </mc:AlternateContent>
  <xr:revisionPtr revIDLastSave="6" documentId="8_{D30D7030-3FA5-FC45-89E7-75268989D8D6}" xr6:coauthVersionLast="47" xr6:coauthVersionMax="47" xr10:uidLastSave="{01D90DE3-71AC-EE4C-9FA7-24BE56C3433A}"/>
  <bookViews>
    <workbookView xWindow="0" yWindow="800" windowWidth="41120" windowHeight="23980" xr2:uid="{E219D4B1-7D27-470C-93D5-D94F3CBAEDA8}"/>
  </bookViews>
  <sheets>
    <sheet name="N HMBA 2025-2030 odhad" sheetId="1" r:id="rId1"/>
  </sheets>
  <externalReferences>
    <externalReference r:id="rId2"/>
  </externalReferences>
  <definedNames>
    <definedName name="A">#REF!</definedName>
    <definedName name="aaa">#REF!</definedName>
    <definedName name="Č_var_IP">#REF!</definedName>
    <definedName name="CC">#REF!</definedName>
    <definedName name="Charak_IP">#REF!</definedName>
    <definedName name="Ciel_IP">#REF!</definedName>
    <definedName name="Číslo_IP">#REF!</definedName>
    <definedName name="CSH">#REF!</definedName>
    <definedName name="data_A_1_2">#REF!</definedName>
    <definedName name="data_A_4_3">#REF!</definedName>
    <definedName name="DN">#REF!</definedName>
    <definedName name="f">#REF!</definedName>
    <definedName name="gg">#REF!</definedName>
    <definedName name="ggg">#REF!</definedName>
    <definedName name="HH">#REF!</definedName>
    <definedName name="kod">'[1]Investičný návrh projektu'!#REF!</definedName>
    <definedName name="kodY">#REF!</definedName>
    <definedName name="more_info...">#REF!</definedName>
    <definedName name="Náz_var_IP">#REF!</definedName>
    <definedName name="Názov_IP">#REF!</definedName>
    <definedName name="oc">'[1]Investičný návrh projektu'!#REF!</definedName>
    <definedName name="Ocenenie">#REF!</definedName>
    <definedName name="optimist">#REF!</definedName>
    <definedName name="pesimist">#REF!</definedName>
    <definedName name="PP">#REF!</definedName>
    <definedName name="Projekt">#REF!</definedName>
    <definedName name="real">#REF!</definedName>
    <definedName name="RR">#REF!</definedName>
    <definedName name="VMV">#REF!</definedName>
    <definedName name="vyhovuje">#REF!</definedName>
    <definedName name="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C2" i="1" l="1"/>
  <c r="D2" i="1" l="1"/>
  <c r="E2" i="1" l="1"/>
  <c r="G2" i="1" l="1"/>
  <c r="F2" i="1"/>
</calcChain>
</file>

<file path=xl/sharedStrings.xml><?xml version="1.0" encoding="utf-8"?>
<sst xmlns="http://schemas.openxmlformats.org/spreadsheetml/2006/main" count="21" uniqueCount="21">
  <si>
    <t>Cestovné</t>
  </si>
  <si>
    <t>Dane</t>
  </si>
  <si>
    <t>Energie</t>
  </si>
  <si>
    <t>Finančné náklady</t>
  </si>
  <si>
    <t>Informačné technológie</t>
  </si>
  <si>
    <t>Náklady na autá</t>
  </si>
  <si>
    <t>Odpisy</t>
  </si>
  <si>
    <t>Oprava a údržba</t>
  </si>
  <si>
    <t>Osobné náklady</t>
  </si>
  <si>
    <t>Ostatné prevádzkové náklady</t>
  </si>
  <si>
    <t>Poistenie</t>
  </si>
  <si>
    <t>Prenájom</t>
  </si>
  <si>
    <t>Reklamné náklady</t>
  </si>
  <si>
    <t>Služby</t>
  </si>
  <si>
    <t>Spotreba kontajnerov</t>
  </si>
  <si>
    <t>Spotreba materiálu</t>
  </si>
  <si>
    <t>Stráženie a ochrana majetku</t>
  </si>
  <si>
    <t>Telekomunikačné služby</t>
  </si>
  <si>
    <t>Vnútropodnikové náklady</t>
  </si>
  <si>
    <t>NakladyOLO</t>
  </si>
  <si>
    <t>Rok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</si>
</sst>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0"/>
      <color theme="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top" wrapText="1"/>
    </xf>
    <xf numFmtId="0" fontId="1" fillId="3" borderId="0" xfId="0" applyFont="1" applyFill="1"/>
    <xf numFmtId="4" fontId="2" fillId="4" borderId="0" xfId="0" applyNumberFormat="1" applyFont="1" applyFill="1"/>
    <xf numFmtId="0" fontId="1" fillId="2" borderId="0" xfId="0" applyFont="1" applyFill="1"/>
    <xf numFmtId="4" fontId="1" fillId="5" borderId="0" xfId="0" applyNumberFormat="1" applyFon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C%20IPconnect_v081015_Proffesional_SIX_SITEL_vd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ičný návrh projektu"/>
      <sheetName val="Investments"/>
      <sheetName val="Roll out &amp; Justification"/>
      <sheetName val="OPEX"/>
      <sheetName val="Revenues"/>
      <sheetName val="Risk &amp; Technical Variants"/>
      <sheetName val="Financial calculation"/>
      <sheetName val="Cena služby IP connect"/>
      <sheetName val="IP technol_KAM-S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421B-B0F2-4821-ABB6-04D852D631D8}">
  <sheetPr>
    <tabColor theme="5" tint="-0.249977111117893"/>
  </sheetPr>
  <dimension ref="A1:I21"/>
  <sheetViews>
    <sheetView showGridLines="0" tabSelected="1" zoomScale="150" zoomScaleNormal="150" workbookViewId="0">
      <selection activeCell="B6" sqref="B6"/>
    </sheetView>
  </sheetViews>
  <sheetFormatPr baseColWidth="10" defaultColWidth="8.83203125" defaultRowHeight="15" x14ac:dyDescent="0.2"/>
  <cols>
    <col min="1" max="1" width="30.83203125" customWidth="1"/>
    <col min="2" max="7" width="12.33203125" bestFit="1" customWidth="1"/>
    <col min="9" max="9" width="12.5" bestFit="1" customWidth="1"/>
  </cols>
  <sheetData>
    <row r="1" spans="1:9" x14ac:dyDescent="0.2">
      <c r="A1" s="1" t="s">
        <v>20</v>
      </c>
      <c r="B1" s="2">
        <v>2025</v>
      </c>
      <c r="C1" s="2">
        <v>2026</v>
      </c>
      <c r="D1" s="2">
        <v>2027</v>
      </c>
      <c r="E1" s="2">
        <v>2028</v>
      </c>
      <c r="F1" s="2">
        <v>2029</v>
      </c>
      <c r="G1" s="2">
        <v>2030</v>
      </c>
    </row>
    <row r="2" spans="1:9" x14ac:dyDescent="0.2">
      <c r="A2" s="3" t="s">
        <v>19</v>
      </c>
      <c r="B2" s="4">
        <f>SUM(B3:B21)</f>
        <v>28366977.080905046</v>
      </c>
      <c r="C2" s="4">
        <f t="shared" ref="C2:G2" si="0">SUM(C3:C21)</f>
        <v>30099223.25836705</v>
      </c>
      <c r="D2" s="4">
        <f t="shared" si="0"/>
        <v>30525195.955587134</v>
      </c>
      <c r="E2" s="4">
        <f t="shared" si="0"/>
        <v>31075825.854476817</v>
      </c>
      <c r="F2" s="4">
        <f t="shared" si="0"/>
        <v>31852721.500838734</v>
      </c>
      <c r="G2" s="4">
        <f t="shared" si="0"/>
        <v>32649039.53835969</v>
      </c>
    </row>
    <row r="3" spans="1:9" x14ac:dyDescent="0.2">
      <c r="A3" s="5" t="s">
        <v>0</v>
      </c>
      <c r="B3" s="6">
        <v>21422.676420066397</v>
      </c>
      <c r="C3" s="6">
        <v>22817.298256846829</v>
      </c>
      <c r="D3" s="6">
        <v>23387.730713267996</v>
      </c>
      <c r="E3" s="6">
        <v>23972.423981099695</v>
      </c>
      <c r="F3" s="6">
        <v>24571.734580627184</v>
      </c>
      <c r="G3" s="6">
        <v>25186.027945142861</v>
      </c>
    </row>
    <row r="4" spans="1:9" x14ac:dyDescent="0.2">
      <c r="A4" s="5" t="s">
        <v>1</v>
      </c>
      <c r="B4" s="6">
        <v>260315.36956375791</v>
      </c>
      <c r="C4" s="6">
        <v>260315.36956375791</v>
      </c>
      <c r="D4" s="6">
        <v>260315.36956375791</v>
      </c>
      <c r="E4" s="6">
        <v>266823.25380285183</v>
      </c>
      <c r="F4" s="6">
        <v>273493.83514792309</v>
      </c>
      <c r="G4" s="6">
        <v>280331.18102662114</v>
      </c>
    </row>
    <row r="5" spans="1:9" x14ac:dyDescent="0.2">
      <c r="A5" s="5" t="s">
        <v>2</v>
      </c>
      <c r="B5" s="6">
        <v>286120.282529502</v>
      </c>
      <c r="C5" s="6">
        <v>304746.78774001158</v>
      </c>
      <c r="D5" s="6">
        <v>312365.45743351185</v>
      </c>
      <c r="E5" s="6">
        <v>320174.59386934963</v>
      </c>
      <c r="F5" s="6">
        <v>328178.95871608332</v>
      </c>
      <c r="G5" s="6">
        <v>336383.43268398539</v>
      </c>
    </row>
    <row r="6" spans="1:9" x14ac:dyDescent="0.2">
      <c r="A6" s="5" t="s">
        <v>3</v>
      </c>
      <c r="B6" s="6">
        <v>7885.9621240121751</v>
      </c>
      <c r="C6" s="6">
        <v>8399.3403203923972</v>
      </c>
      <c r="D6" s="6">
        <v>8609.3238284022063</v>
      </c>
      <c r="E6" s="6">
        <v>8824.5569241122612</v>
      </c>
      <c r="F6" s="6">
        <v>9045.1708472150676</v>
      </c>
      <c r="G6" s="6">
        <v>9271.3001183954439</v>
      </c>
    </row>
    <row r="7" spans="1:9" x14ac:dyDescent="0.2">
      <c r="A7" s="5" t="s">
        <v>4</v>
      </c>
      <c r="B7" s="6">
        <v>755875.07794023503</v>
      </c>
      <c r="C7" s="6">
        <v>800000</v>
      </c>
      <c r="D7" s="6">
        <v>500000</v>
      </c>
      <c r="E7" s="6">
        <v>300000</v>
      </c>
      <c r="F7" s="6">
        <v>307500</v>
      </c>
      <c r="G7" s="6">
        <v>315187.5</v>
      </c>
    </row>
    <row r="8" spans="1:9" x14ac:dyDescent="0.2">
      <c r="A8" s="5" t="s">
        <v>5</v>
      </c>
      <c r="B8" s="6">
        <v>918252.04016480478</v>
      </c>
      <c r="C8" s="6">
        <v>977451.69566748803</v>
      </c>
      <c r="D8" s="6">
        <v>1001887.9880591752</v>
      </c>
      <c r="E8" s="6">
        <v>1026935.1877606545</v>
      </c>
      <c r="F8" s="6">
        <v>1052608.5674546708</v>
      </c>
      <c r="G8" s="6">
        <v>1078923.7816410374</v>
      </c>
    </row>
    <row r="9" spans="1:9" x14ac:dyDescent="0.2">
      <c r="A9" s="5" t="s">
        <v>6</v>
      </c>
      <c r="B9" s="6">
        <v>2523069.3952114773</v>
      </c>
      <c r="C9" s="6">
        <v>2687321.872599334</v>
      </c>
      <c r="D9" s="6">
        <v>2754504.9194143172</v>
      </c>
      <c r="E9" s="6">
        <v>2823367.5423996751</v>
      </c>
      <c r="F9" s="6">
        <v>2893951.7309596669</v>
      </c>
      <c r="G9" s="6">
        <v>2966300.5242336583</v>
      </c>
      <c r="I9" s="7"/>
    </row>
    <row r="10" spans="1:9" x14ac:dyDescent="0.2">
      <c r="A10" s="5" t="s">
        <v>7</v>
      </c>
      <c r="B10" s="6">
        <v>1673319.9361093289</v>
      </c>
      <c r="C10" s="6">
        <v>1784199.8598313855</v>
      </c>
      <c r="D10" s="6">
        <v>1828804.85632717</v>
      </c>
      <c r="E10" s="6">
        <v>1874524.9777353492</v>
      </c>
      <c r="F10" s="6">
        <v>1921388.1021787329</v>
      </c>
      <c r="G10" s="6">
        <v>1969422.8047332009</v>
      </c>
    </row>
    <row r="11" spans="1:9" x14ac:dyDescent="0.2">
      <c r="A11" s="5" t="s">
        <v>8</v>
      </c>
      <c r="B11" s="6">
        <v>14460337.623422351</v>
      </c>
      <c r="C11" s="6">
        <v>15377302.714427851</v>
      </c>
      <c r="D11" s="6">
        <v>15761735.282288546</v>
      </c>
      <c r="E11" s="6">
        <v>16155778.664345758</v>
      </c>
      <c r="F11" s="6">
        <v>16559673.1309544</v>
      </c>
      <c r="G11" s="6">
        <v>16973664.959228259</v>
      </c>
    </row>
    <row r="12" spans="1:9" x14ac:dyDescent="0.2">
      <c r="A12" s="5" t="s">
        <v>9</v>
      </c>
      <c r="B12" s="6">
        <v>222970.97844063235</v>
      </c>
      <c r="C12" s="6">
        <v>240204.13822131581</v>
      </c>
      <c r="D12" s="6">
        <v>246209.24167684867</v>
      </c>
      <c r="E12" s="6">
        <v>252364.47271876986</v>
      </c>
      <c r="F12" s="6">
        <v>258673.58453673907</v>
      </c>
      <c r="G12" s="6">
        <v>265140.42415015755</v>
      </c>
    </row>
    <row r="13" spans="1:9" x14ac:dyDescent="0.2">
      <c r="A13" s="5" t="s">
        <v>10</v>
      </c>
      <c r="B13" s="6">
        <v>608970.04166820832</v>
      </c>
      <c r="C13" s="6">
        <v>608970.04166820832</v>
      </c>
      <c r="D13" s="6">
        <v>624194.29270991345</v>
      </c>
      <c r="E13" s="6">
        <v>639799.15002766124</v>
      </c>
      <c r="F13" s="6">
        <v>655794.12877835275</v>
      </c>
      <c r="G13" s="6">
        <v>672188.98199781147</v>
      </c>
    </row>
    <row r="14" spans="1:9" x14ac:dyDescent="0.2">
      <c r="A14" s="5" t="s">
        <v>11</v>
      </c>
      <c r="B14" s="6">
        <v>142954.4777647476</v>
      </c>
      <c r="C14" s="6">
        <v>152260.85164852219</v>
      </c>
      <c r="D14" s="6">
        <v>156067.37293973524</v>
      </c>
      <c r="E14" s="6">
        <v>159969.05726322861</v>
      </c>
      <c r="F14" s="6">
        <v>163968.2836948093</v>
      </c>
      <c r="G14" s="6">
        <v>168067.49078717953</v>
      </c>
    </row>
    <row r="15" spans="1:9" x14ac:dyDescent="0.2">
      <c r="A15" s="5" t="s">
        <v>12</v>
      </c>
      <c r="B15" s="6">
        <v>88743.252532264814</v>
      </c>
      <c r="C15" s="6">
        <v>94520.461477664794</v>
      </c>
      <c r="D15" s="6">
        <v>96883.47301460641</v>
      </c>
      <c r="E15" s="6">
        <v>99305.559839971567</v>
      </c>
      <c r="F15" s="6">
        <v>101788.19883597085</v>
      </c>
      <c r="G15" s="6">
        <v>104332.9038068701</v>
      </c>
    </row>
    <row r="16" spans="1:9" x14ac:dyDescent="0.2">
      <c r="A16" s="5" t="s">
        <v>13</v>
      </c>
      <c r="B16" s="6">
        <v>3765766.0507633202</v>
      </c>
      <c r="C16" s="6">
        <v>4015298.6377201197</v>
      </c>
      <c r="D16" s="6">
        <v>4115681.1036631223</v>
      </c>
      <c r="E16" s="6">
        <v>4218573.1312547</v>
      </c>
      <c r="F16" s="6">
        <v>4324037.4595360672</v>
      </c>
      <c r="G16" s="6">
        <v>4432138.3960244684</v>
      </c>
    </row>
    <row r="17" spans="1:7" x14ac:dyDescent="0.2">
      <c r="A17" s="5" t="s">
        <v>14</v>
      </c>
      <c r="B17" s="6">
        <v>284027.55999999988</v>
      </c>
      <c r="C17" s="6">
        <v>302517.8284266112</v>
      </c>
      <c r="D17" s="6">
        <v>310080.77413727646</v>
      </c>
      <c r="E17" s="6">
        <v>317832.79349070834</v>
      </c>
      <c r="F17" s="6">
        <v>325778.61332797603</v>
      </c>
      <c r="G17" s="6">
        <v>333923.07866117539</v>
      </c>
    </row>
    <row r="18" spans="1:7" x14ac:dyDescent="0.2">
      <c r="A18" s="5" t="s">
        <v>15</v>
      </c>
      <c r="B18" s="6">
        <v>1154154.1119277945</v>
      </c>
      <c r="C18" s="6">
        <v>1229289.8464150468</v>
      </c>
      <c r="D18" s="6">
        <v>1260022.092575423</v>
      </c>
      <c r="E18" s="6">
        <v>1291522.6448898085</v>
      </c>
      <c r="F18" s="6">
        <v>1323810.7110120535</v>
      </c>
      <c r="G18" s="6">
        <v>1356905.9787873547</v>
      </c>
    </row>
    <row r="19" spans="1:7" x14ac:dyDescent="0.2">
      <c r="A19" s="5" t="s">
        <v>16</v>
      </c>
      <c r="B19" s="6">
        <v>179894.18081207399</v>
      </c>
      <c r="C19" s="6">
        <v>191605.33902362431</v>
      </c>
      <c r="D19" s="6">
        <v>196395.4724992149</v>
      </c>
      <c r="E19" s="6">
        <v>201305.35931169524</v>
      </c>
      <c r="F19" s="6">
        <v>206337.99329448759</v>
      </c>
      <c r="G19" s="6">
        <v>211496.44312684977</v>
      </c>
    </row>
    <row r="20" spans="1:7" x14ac:dyDescent="0.2">
      <c r="A20" s="5" t="s">
        <v>17</v>
      </c>
      <c r="B20" s="6">
        <v>94280.189706728939</v>
      </c>
      <c r="C20" s="6">
        <v>100417.85471004501</v>
      </c>
      <c r="D20" s="6">
        <v>102928.30107779613</v>
      </c>
      <c r="E20" s="6">
        <v>105501.50860474103</v>
      </c>
      <c r="F20" s="6">
        <v>108139.04631985954</v>
      </c>
      <c r="G20" s="6">
        <v>110842.52247785602</v>
      </c>
    </row>
    <row r="21" spans="1:7" x14ac:dyDescent="0.2">
      <c r="A21" s="5" t="s">
        <v>18</v>
      </c>
      <c r="B21" s="6">
        <v>918617.87380373513</v>
      </c>
      <c r="C21" s="6">
        <v>941583.3206488284</v>
      </c>
      <c r="D21" s="6">
        <v>965122.903665049</v>
      </c>
      <c r="E21" s="6">
        <v>989250.97625667509</v>
      </c>
      <c r="F21" s="6">
        <v>1013982.2506630919</v>
      </c>
      <c r="G21" s="6">
        <v>1039331.8069296691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 HMBA 2025-2030 odhad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Sučko Ján</dc:creator>
  <cp:lastModifiedBy>Matus Luptak</cp:lastModifiedBy>
  <dcterms:created xsi:type="dcterms:W3CDTF">2025-09-26T07:04:10Z</dcterms:created>
  <dcterms:modified xsi:type="dcterms:W3CDTF">2025-11-24T17:39:59Z</dcterms:modified>
</cp:coreProperties>
</file>