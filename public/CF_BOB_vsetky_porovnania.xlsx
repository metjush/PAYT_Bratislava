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https://d.docs.live.net/2293b72959587e28/PAYT_ANALYSIS/model/public/"/>
    </mc:Choice>
  </mc:AlternateContent>
  <xr:revisionPtr revIDLastSave="128" documentId="8_{4F9F2383-30D4-974F-BCD2-AD558ED22913}" xr6:coauthVersionLast="47" xr6:coauthVersionMax="47" xr10:uidLastSave="{47BAB219-846E-EF43-AE0E-700E34759E6D}"/>
  <bookViews>
    <workbookView xWindow="0" yWindow="800" windowWidth="41120" windowHeight="24000" firstSheet="2" activeTab="5" xr2:uid="{940212AD-A30C-F142-881B-74C89A84E4C3}"/>
    <workbookView xWindow="-3060" yWindow="-28160" windowWidth="34540" windowHeight="26400" xr2:uid="{D287663D-191D-ED4A-BE48-DFFBBA37CE96}"/>
  </bookViews>
  <sheets>
    <sheet name="porovnanie_vsetky_projekty" sheetId="11" r:id="rId1"/>
    <sheet name="zitavska_porovnanie" sheetId="4" r:id="rId2"/>
    <sheet name="zitavska_BOB" sheetId="2" r:id="rId3"/>
    <sheet name="zitavska_HMBA" sheetId="3" r:id="rId4"/>
    <sheet name="antolska_porovnanie" sheetId="7" r:id="rId5"/>
    <sheet name="antolska_BOB" sheetId="5" r:id="rId6"/>
    <sheet name="antolska_HMBA" sheetId="6" r:id="rId7"/>
    <sheet name="navratkach_porovnanie" sheetId="10" r:id="rId8"/>
    <sheet name="navratkach_BOB" sheetId="9" r:id="rId9"/>
    <sheet name="navratkach_HMBA" sheetId="8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1" l="1"/>
  <c r="C9" i="11"/>
  <c r="B9" i="11"/>
  <c r="F22" i="8"/>
  <c r="G22" i="8"/>
  <c r="H22" i="8"/>
  <c r="I22" i="8"/>
  <c r="J22" i="8"/>
  <c r="J30" i="8" s="1"/>
  <c r="K22" i="8"/>
  <c r="L22" i="8"/>
  <c r="M22" i="8"/>
  <c r="N22" i="8"/>
  <c r="O22" i="8"/>
  <c r="P22" i="8"/>
  <c r="Q22" i="8"/>
  <c r="R22" i="8"/>
  <c r="R30" i="8" s="1"/>
  <c r="S22" i="8"/>
  <c r="T22" i="8"/>
  <c r="T30" i="8" s="1"/>
  <c r="U22" i="8"/>
  <c r="U30" i="8" s="1"/>
  <c r="V22" i="8"/>
  <c r="W22" i="8"/>
  <c r="X22" i="8"/>
  <c r="Y22" i="8"/>
  <c r="Z22" i="8"/>
  <c r="AA22" i="8"/>
  <c r="AB22" i="8"/>
  <c r="AB30" i="8" s="1"/>
  <c r="AC22" i="8"/>
  <c r="AC30" i="8" s="1"/>
  <c r="AD22" i="8"/>
  <c r="AD30" i="8" s="1"/>
  <c r="AE22" i="8"/>
  <c r="AF22" i="8"/>
  <c r="AF30" i="8" s="1"/>
  <c r="AG22" i="8"/>
  <c r="AH22" i="8"/>
  <c r="AI22" i="8"/>
  <c r="AJ22" i="8"/>
  <c r="AK22" i="8"/>
  <c r="AL22" i="8"/>
  <c r="E22" i="8"/>
  <c r="AL22" i="9"/>
  <c r="F22" i="9"/>
  <c r="G22" i="9"/>
  <c r="H22" i="9"/>
  <c r="I22" i="9"/>
  <c r="D22" i="9" s="1"/>
  <c r="J22" i="9"/>
  <c r="K22" i="9"/>
  <c r="K30" i="9" s="1"/>
  <c r="L22" i="9"/>
  <c r="M22" i="9"/>
  <c r="M30" i="9" s="1"/>
  <c r="N22" i="9"/>
  <c r="N30" i="9" s="1"/>
  <c r="O22" i="9"/>
  <c r="P22" i="9"/>
  <c r="Q22" i="9"/>
  <c r="R22" i="9"/>
  <c r="R30" i="9" s="1"/>
  <c r="S22" i="9"/>
  <c r="T22" i="9"/>
  <c r="T30" i="9" s="1"/>
  <c r="U22" i="9"/>
  <c r="V22" i="9"/>
  <c r="W22" i="9"/>
  <c r="W30" i="9" s="1"/>
  <c r="X22" i="9"/>
  <c r="X30" i="9" s="1"/>
  <c r="Y22" i="9"/>
  <c r="Y30" i="9" s="1"/>
  <c r="Z22" i="9"/>
  <c r="AA22" i="9"/>
  <c r="AB22" i="9"/>
  <c r="AB30" i="9" s="1"/>
  <c r="AC22" i="9"/>
  <c r="AC30" i="9" s="1"/>
  <c r="AD22" i="9"/>
  <c r="AD30" i="9" s="1"/>
  <c r="AE22" i="9"/>
  <c r="AF22" i="9"/>
  <c r="AG22" i="9"/>
  <c r="AG30" i="9" s="1"/>
  <c r="AH22" i="9"/>
  <c r="AI22" i="9"/>
  <c r="AJ22" i="9"/>
  <c r="AK22" i="9"/>
  <c r="E22" i="9"/>
  <c r="F22" i="6"/>
  <c r="G22" i="6"/>
  <c r="H22" i="6"/>
  <c r="I22" i="6"/>
  <c r="I30" i="6" s="1"/>
  <c r="J22" i="6"/>
  <c r="J30" i="6" s="1"/>
  <c r="K22" i="6"/>
  <c r="L22" i="6"/>
  <c r="M22" i="6"/>
  <c r="N22" i="6"/>
  <c r="O22" i="6"/>
  <c r="P22" i="6"/>
  <c r="Q22" i="6"/>
  <c r="R22" i="6"/>
  <c r="S22" i="6"/>
  <c r="S30" i="6" s="1"/>
  <c r="T22" i="6"/>
  <c r="U22" i="6"/>
  <c r="U30" i="6" s="1"/>
  <c r="V22" i="6"/>
  <c r="W22" i="6"/>
  <c r="W30" i="6" s="1"/>
  <c r="X22" i="6"/>
  <c r="Y22" i="6"/>
  <c r="Z22" i="6"/>
  <c r="AA22" i="6"/>
  <c r="AB22" i="6"/>
  <c r="AC22" i="6"/>
  <c r="AC30" i="6" s="1"/>
  <c r="AD22" i="6"/>
  <c r="AD30" i="6" s="1"/>
  <c r="AE22" i="6"/>
  <c r="AF22" i="6"/>
  <c r="AF30" i="6" s="1"/>
  <c r="AG22" i="6"/>
  <c r="AH22" i="6"/>
  <c r="AI22" i="6"/>
  <c r="AJ22" i="6"/>
  <c r="AK22" i="6"/>
  <c r="AL22" i="6"/>
  <c r="E22" i="6"/>
  <c r="F22" i="5"/>
  <c r="G22" i="5"/>
  <c r="H22" i="5"/>
  <c r="I22" i="5"/>
  <c r="J22" i="5"/>
  <c r="K22" i="5"/>
  <c r="L22" i="5"/>
  <c r="M22" i="5"/>
  <c r="N22" i="5"/>
  <c r="O22" i="5"/>
  <c r="O30" i="5" s="1"/>
  <c r="P22" i="5"/>
  <c r="Q22" i="5"/>
  <c r="R22" i="5"/>
  <c r="S22" i="5"/>
  <c r="T22" i="5"/>
  <c r="U22" i="5"/>
  <c r="V22" i="5"/>
  <c r="W22" i="5"/>
  <c r="X22" i="5"/>
  <c r="Y22" i="5"/>
  <c r="Y30" i="5" s="1"/>
  <c r="Z22" i="5"/>
  <c r="AA22" i="5"/>
  <c r="AB22" i="5"/>
  <c r="AB30" i="5" s="1"/>
  <c r="AC22" i="5"/>
  <c r="AD22" i="5"/>
  <c r="AE22" i="5"/>
  <c r="AF22" i="5"/>
  <c r="AG22" i="5"/>
  <c r="AH22" i="5"/>
  <c r="AI22" i="5"/>
  <c r="AJ22" i="5"/>
  <c r="AK22" i="5"/>
  <c r="AL22" i="5"/>
  <c r="AL30" i="5" s="1"/>
  <c r="E22" i="5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E22" i="3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E22" i="2"/>
  <c r="L30" i="9"/>
  <c r="O30" i="9"/>
  <c r="U30" i="9"/>
  <c r="V30" i="9"/>
  <c r="Z30" i="9"/>
  <c r="AE30" i="9"/>
  <c r="AF30" i="9"/>
  <c r="AI30" i="9"/>
  <c r="AJ30" i="9"/>
  <c r="AK30" i="9"/>
  <c r="C18" i="10"/>
  <c r="AL63" i="9"/>
  <c r="AK63" i="9"/>
  <c r="AJ63" i="9"/>
  <c r="AI63" i="9"/>
  <c r="AH63" i="9"/>
  <c r="AG63" i="9"/>
  <c r="AF63" i="9"/>
  <c r="AE63" i="9"/>
  <c r="AD63" i="9"/>
  <c r="AC63" i="9"/>
  <c r="AB63" i="9"/>
  <c r="AA63" i="9"/>
  <c r="Z63" i="9"/>
  <c r="Y63" i="9"/>
  <c r="X63" i="9"/>
  <c r="W63" i="9"/>
  <c r="V63" i="9"/>
  <c r="U63" i="9"/>
  <c r="T63" i="9"/>
  <c r="S63" i="9"/>
  <c r="R63" i="9"/>
  <c r="Q63" i="9"/>
  <c r="P63" i="9"/>
  <c r="O63" i="9"/>
  <c r="N63" i="9"/>
  <c r="B63" i="9"/>
  <c r="C61" i="9"/>
  <c r="F55" i="9"/>
  <c r="E55" i="9"/>
  <c r="F54" i="9"/>
  <c r="E54" i="9"/>
  <c r="AL53" i="9"/>
  <c r="AK53" i="9"/>
  <c r="AJ53" i="9"/>
  <c r="AI53" i="9"/>
  <c r="AH53" i="9"/>
  <c r="AG53" i="9"/>
  <c r="AF53" i="9"/>
  <c r="AE53" i="9"/>
  <c r="AD53" i="9"/>
  <c r="AC53" i="9"/>
  <c r="AB53" i="9"/>
  <c r="AA53" i="9"/>
  <c r="Z53" i="9"/>
  <c r="Y53" i="9"/>
  <c r="X53" i="9"/>
  <c r="W53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G53" i="9"/>
  <c r="E53" i="9"/>
  <c r="F48" i="9"/>
  <c r="E48" i="9"/>
  <c r="F47" i="9"/>
  <c r="E47" i="9"/>
  <c r="F46" i="9"/>
  <c r="E46" i="9"/>
  <c r="F45" i="9"/>
  <c r="E45" i="9"/>
  <c r="AL44" i="9"/>
  <c r="AK44" i="9"/>
  <c r="AJ44" i="9"/>
  <c r="AI44" i="9"/>
  <c r="AH44" i="9"/>
  <c r="AG44" i="9"/>
  <c r="AF44" i="9"/>
  <c r="AE44" i="9"/>
  <c r="AD44" i="9"/>
  <c r="AC44" i="9"/>
  <c r="AB44" i="9"/>
  <c r="AA44" i="9"/>
  <c r="Z44" i="9"/>
  <c r="Y44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G44" i="9"/>
  <c r="E44" i="9"/>
  <c r="AL37" i="9"/>
  <c r="AK37" i="9"/>
  <c r="AJ37" i="9"/>
  <c r="AI37" i="9"/>
  <c r="AH37" i="9"/>
  <c r="AG37" i="9"/>
  <c r="AF37" i="9"/>
  <c r="AE37" i="9"/>
  <c r="AD37" i="9"/>
  <c r="AC37" i="9"/>
  <c r="AB37" i="9"/>
  <c r="AA37" i="9"/>
  <c r="Z37" i="9"/>
  <c r="Y37" i="9"/>
  <c r="X37" i="9"/>
  <c r="W37" i="9"/>
  <c r="V37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G37" i="9"/>
  <c r="E37" i="9"/>
  <c r="AL36" i="9"/>
  <c r="AK36" i="9"/>
  <c r="AJ36" i="9"/>
  <c r="AI36" i="9"/>
  <c r="AH36" i="9"/>
  <c r="AG36" i="9"/>
  <c r="AF36" i="9"/>
  <c r="AE36" i="9"/>
  <c r="AD36" i="9"/>
  <c r="AC36" i="9"/>
  <c r="AB36" i="9"/>
  <c r="AA36" i="9"/>
  <c r="Z36" i="9"/>
  <c r="Y36" i="9"/>
  <c r="X36" i="9"/>
  <c r="W36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G36" i="9"/>
  <c r="E36" i="9"/>
  <c r="AL35" i="9"/>
  <c r="AK35" i="9"/>
  <c r="AJ35" i="9"/>
  <c r="AI35" i="9"/>
  <c r="AH35" i="9"/>
  <c r="AG35" i="9"/>
  <c r="AF35" i="9"/>
  <c r="AE35" i="9"/>
  <c r="AD35" i="9"/>
  <c r="AC35" i="9"/>
  <c r="AB35" i="9"/>
  <c r="AA35" i="9"/>
  <c r="Z35" i="9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G35" i="9"/>
  <c r="E35" i="9"/>
  <c r="AA30" i="9"/>
  <c r="E28" i="9"/>
  <c r="AL27" i="9"/>
  <c r="AL29" i="9" s="1"/>
  <c r="AC27" i="9"/>
  <c r="AC29" i="9" s="1"/>
  <c r="AB27" i="9"/>
  <c r="AB29" i="9" s="1"/>
  <c r="I27" i="9"/>
  <c r="I29" i="9" s="1"/>
  <c r="H27" i="9"/>
  <c r="H29" i="9" s="1"/>
  <c r="E27" i="9"/>
  <c r="AL30" i="9"/>
  <c r="AH30" i="9"/>
  <c r="S30" i="9"/>
  <c r="Q30" i="9"/>
  <c r="P30" i="9"/>
  <c r="J30" i="9"/>
  <c r="I30" i="9"/>
  <c r="H30" i="9"/>
  <c r="G30" i="9"/>
  <c r="F30" i="9"/>
  <c r="E30" i="9"/>
  <c r="C22" i="9"/>
  <c r="B21" i="9"/>
  <c r="Y21" i="9" s="1"/>
  <c r="M18" i="9"/>
  <c r="M63" i="9" s="1"/>
  <c r="L18" i="9"/>
  <c r="L63" i="9" s="1"/>
  <c r="K18" i="9"/>
  <c r="K63" i="9" s="1"/>
  <c r="J18" i="9"/>
  <c r="J63" i="9" s="1"/>
  <c r="I18" i="9"/>
  <c r="I63" i="9" s="1"/>
  <c r="H18" i="9"/>
  <c r="H63" i="9" s="1"/>
  <c r="G18" i="9"/>
  <c r="F18" i="9"/>
  <c r="E18" i="9"/>
  <c r="E63" i="9" s="1"/>
  <c r="H14" i="9"/>
  <c r="U28" i="9" s="1"/>
  <c r="H13" i="9"/>
  <c r="AK27" i="9" s="1"/>
  <c r="AK29" i="9" s="1"/>
  <c r="B8" i="9"/>
  <c r="AL63" i="8"/>
  <c r="AK63" i="8"/>
  <c r="AJ63" i="8"/>
  <c r="AI63" i="8"/>
  <c r="AH63" i="8"/>
  <c r="AG63" i="8"/>
  <c r="AF63" i="8"/>
  <c r="AE63" i="8"/>
  <c r="AD63" i="8"/>
  <c r="AC63" i="8"/>
  <c r="AB63" i="8"/>
  <c r="AA63" i="8"/>
  <c r="Z63" i="8"/>
  <c r="Y63" i="8"/>
  <c r="X63" i="8"/>
  <c r="W63" i="8"/>
  <c r="V63" i="8"/>
  <c r="U63" i="8"/>
  <c r="T63" i="8"/>
  <c r="S63" i="8"/>
  <c r="R63" i="8"/>
  <c r="Q63" i="8"/>
  <c r="P63" i="8"/>
  <c r="O63" i="8"/>
  <c r="N63" i="8"/>
  <c r="B63" i="8"/>
  <c r="C61" i="8"/>
  <c r="AL60" i="8"/>
  <c r="AL61" i="8" s="1"/>
  <c r="AL64" i="8" s="1"/>
  <c r="AK60" i="8"/>
  <c r="AK61" i="8" s="1"/>
  <c r="AK64" i="8" s="1"/>
  <c r="AJ60" i="8"/>
  <c r="AJ61" i="8" s="1"/>
  <c r="AJ64" i="8" s="1"/>
  <c r="AI60" i="8"/>
  <c r="AI61" i="8" s="1"/>
  <c r="AI64" i="8" s="1"/>
  <c r="AH60" i="8"/>
  <c r="AH61" i="8" s="1"/>
  <c r="AH64" i="8" s="1"/>
  <c r="AG60" i="8"/>
  <c r="AG61" i="8" s="1"/>
  <c r="AG64" i="8" s="1"/>
  <c r="AF60" i="8"/>
  <c r="AF61" i="8" s="1"/>
  <c r="AF64" i="8" s="1"/>
  <c r="AE60" i="8"/>
  <c r="AE61" i="8" s="1"/>
  <c r="AE64" i="8" s="1"/>
  <c r="AD60" i="8"/>
  <c r="AD61" i="8" s="1"/>
  <c r="AD64" i="8" s="1"/>
  <c r="AC60" i="8"/>
  <c r="AC61" i="8" s="1"/>
  <c r="AC64" i="8" s="1"/>
  <c r="AB60" i="8"/>
  <c r="AB61" i="8" s="1"/>
  <c r="AB64" i="8" s="1"/>
  <c r="AA60" i="8"/>
  <c r="AA61" i="8" s="1"/>
  <c r="AA64" i="8" s="1"/>
  <c r="Z60" i="8"/>
  <c r="Z61" i="8" s="1"/>
  <c r="Z64" i="8" s="1"/>
  <c r="Y60" i="8"/>
  <c r="Y61" i="8" s="1"/>
  <c r="Y64" i="8" s="1"/>
  <c r="X60" i="8"/>
  <c r="X61" i="8" s="1"/>
  <c r="X64" i="8" s="1"/>
  <c r="W60" i="8"/>
  <c r="W61" i="8" s="1"/>
  <c r="W64" i="8" s="1"/>
  <c r="V60" i="8"/>
  <c r="V61" i="8" s="1"/>
  <c r="V64" i="8" s="1"/>
  <c r="U60" i="8"/>
  <c r="U61" i="8" s="1"/>
  <c r="U64" i="8" s="1"/>
  <c r="T60" i="8"/>
  <c r="T61" i="8" s="1"/>
  <c r="T64" i="8" s="1"/>
  <c r="S60" i="8"/>
  <c r="S61" i="8" s="1"/>
  <c r="S64" i="8" s="1"/>
  <c r="R60" i="8"/>
  <c r="R61" i="8" s="1"/>
  <c r="R64" i="8" s="1"/>
  <c r="Q60" i="8"/>
  <c r="Q61" i="8" s="1"/>
  <c r="Q64" i="8" s="1"/>
  <c r="P60" i="8"/>
  <c r="P61" i="8" s="1"/>
  <c r="P64" i="8" s="1"/>
  <c r="O60" i="8"/>
  <c r="O61" i="8" s="1"/>
  <c r="O64" i="8" s="1"/>
  <c r="N60" i="8"/>
  <c r="N61" i="8" s="1"/>
  <c r="N64" i="8" s="1"/>
  <c r="M60" i="8"/>
  <c r="M61" i="8" s="1"/>
  <c r="M64" i="8" s="1"/>
  <c r="L60" i="8"/>
  <c r="L61" i="8" s="1"/>
  <c r="L64" i="8" s="1"/>
  <c r="K60" i="8"/>
  <c r="K61" i="8" s="1"/>
  <c r="K64" i="8" s="1"/>
  <c r="J60" i="8"/>
  <c r="J61" i="8" s="1"/>
  <c r="J64" i="8" s="1"/>
  <c r="I60" i="8"/>
  <c r="I61" i="8" s="1"/>
  <c r="I64" i="8" s="1"/>
  <c r="H60" i="8"/>
  <c r="H61" i="8" s="1"/>
  <c r="H64" i="8" s="1"/>
  <c r="G60" i="8"/>
  <c r="G61" i="8" s="1"/>
  <c r="G64" i="8" s="1"/>
  <c r="F60" i="8"/>
  <c r="F61" i="8" s="1"/>
  <c r="F64" i="8" s="1"/>
  <c r="E60" i="8"/>
  <c r="F55" i="8"/>
  <c r="E55" i="8"/>
  <c r="F54" i="8"/>
  <c r="E54" i="8"/>
  <c r="AL53" i="8"/>
  <c r="AK53" i="8"/>
  <c r="AJ53" i="8"/>
  <c r="AI53" i="8"/>
  <c r="AH53" i="8"/>
  <c r="AG53" i="8"/>
  <c r="AF53" i="8"/>
  <c r="AE53" i="8"/>
  <c r="AD53" i="8"/>
  <c r="AC53" i="8"/>
  <c r="AB53" i="8"/>
  <c r="AA53" i="8"/>
  <c r="Z53" i="8"/>
  <c r="Y53" i="8"/>
  <c r="X53" i="8"/>
  <c r="W53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G53" i="8"/>
  <c r="E53" i="8"/>
  <c r="F48" i="8"/>
  <c r="E48" i="8"/>
  <c r="F47" i="8"/>
  <c r="E47" i="8"/>
  <c r="F46" i="8"/>
  <c r="E46" i="8"/>
  <c r="F45" i="8"/>
  <c r="E45" i="8"/>
  <c r="AL44" i="8"/>
  <c r="AK44" i="8"/>
  <c r="AJ44" i="8"/>
  <c r="AI44" i="8"/>
  <c r="AH44" i="8"/>
  <c r="AG44" i="8"/>
  <c r="AF44" i="8"/>
  <c r="AE44" i="8"/>
  <c r="AD44" i="8"/>
  <c r="AC44" i="8"/>
  <c r="AB44" i="8"/>
  <c r="AA44" i="8"/>
  <c r="Z44" i="8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G44" i="8"/>
  <c r="E44" i="8"/>
  <c r="AK38" i="8"/>
  <c r="AK39" i="8" s="1"/>
  <c r="AK40" i="8" s="1"/>
  <c r="AH38" i="8"/>
  <c r="AH39" i="8" s="1"/>
  <c r="AH40" i="8" s="1"/>
  <c r="AA38" i="8"/>
  <c r="AA39" i="8" s="1"/>
  <c r="AA40" i="8" s="1"/>
  <c r="Y38" i="8"/>
  <c r="Y39" i="8" s="1"/>
  <c r="Y40" i="8" s="1"/>
  <c r="X38" i="8"/>
  <c r="X39" i="8" s="1"/>
  <c r="X40" i="8" s="1"/>
  <c r="Q38" i="8"/>
  <c r="Q39" i="8" s="1"/>
  <c r="Q40" i="8" s="1"/>
  <c r="N38" i="8"/>
  <c r="N39" i="8" s="1"/>
  <c r="N40" i="8" s="1"/>
  <c r="G38" i="8"/>
  <c r="G39" i="8" s="1"/>
  <c r="G40" i="8" s="1"/>
  <c r="E38" i="8"/>
  <c r="E39" i="8" s="1"/>
  <c r="AL37" i="8"/>
  <c r="AK37" i="8"/>
  <c r="AJ37" i="8"/>
  <c r="AI37" i="8"/>
  <c r="AH37" i="8"/>
  <c r="AG37" i="8"/>
  <c r="AF37" i="8"/>
  <c r="AE37" i="8"/>
  <c r="AD37" i="8"/>
  <c r="AC37" i="8"/>
  <c r="AB37" i="8"/>
  <c r="AA37" i="8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G37" i="8"/>
  <c r="E37" i="8"/>
  <c r="AL36" i="8"/>
  <c r="AK36" i="8"/>
  <c r="AJ36" i="8"/>
  <c r="AI36" i="8"/>
  <c r="AH36" i="8"/>
  <c r="AG36" i="8"/>
  <c r="AF36" i="8"/>
  <c r="AE36" i="8"/>
  <c r="AD36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E36" i="8"/>
  <c r="AL35" i="8"/>
  <c r="AK35" i="8"/>
  <c r="AJ35" i="8"/>
  <c r="AI35" i="8"/>
  <c r="AH35" i="8"/>
  <c r="AG35" i="8"/>
  <c r="AF35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E35" i="8"/>
  <c r="AK34" i="8"/>
  <c r="AI34" i="8"/>
  <c r="AH34" i="8"/>
  <c r="AE34" i="8"/>
  <c r="AC34" i="8"/>
  <c r="Y34" i="8"/>
  <c r="X34" i="8"/>
  <c r="V34" i="8"/>
  <c r="S34" i="8"/>
  <c r="Q34" i="8"/>
  <c r="P34" i="8"/>
  <c r="O34" i="8"/>
  <c r="N34" i="8"/>
  <c r="K34" i="8"/>
  <c r="I34" i="8"/>
  <c r="H34" i="8"/>
  <c r="F34" i="8"/>
  <c r="E34" i="8"/>
  <c r="I30" i="8"/>
  <c r="AE28" i="8"/>
  <c r="E28" i="8"/>
  <c r="W27" i="8"/>
  <c r="W29" i="8" s="1"/>
  <c r="V27" i="8"/>
  <c r="V29" i="8" s="1"/>
  <c r="U27" i="8"/>
  <c r="U29" i="8" s="1"/>
  <c r="M27" i="8"/>
  <c r="M29" i="8" s="1"/>
  <c r="L27" i="8"/>
  <c r="L29" i="8" s="1"/>
  <c r="K27" i="8"/>
  <c r="K29" i="8" s="1"/>
  <c r="E27" i="8"/>
  <c r="E29" i="8" s="1"/>
  <c r="Q24" i="8"/>
  <c r="AL30" i="8"/>
  <c r="AK30" i="8"/>
  <c r="AJ30" i="8"/>
  <c r="AI30" i="8"/>
  <c r="AH30" i="8"/>
  <c r="AG30" i="8"/>
  <c r="AA30" i="8"/>
  <c r="Z30" i="8"/>
  <c r="Y30" i="8"/>
  <c r="X30" i="8"/>
  <c r="W30" i="8"/>
  <c r="V30" i="8"/>
  <c r="S30" i="8"/>
  <c r="Q30" i="8"/>
  <c r="P30" i="8"/>
  <c r="O30" i="8"/>
  <c r="N30" i="8"/>
  <c r="M30" i="8"/>
  <c r="L30" i="8"/>
  <c r="H30" i="8"/>
  <c r="G30" i="8"/>
  <c r="F30" i="8"/>
  <c r="E30" i="8"/>
  <c r="C22" i="8"/>
  <c r="AB24" i="8" s="1"/>
  <c r="AL21" i="8"/>
  <c r="AK21" i="8"/>
  <c r="AI21" i="8"/>
  <c r="AH21" i="8"/>
  <c r="AG21" i="8"/>
  <c r="AE21" i="8"/>
  <c r="AD21" i="8"/>
  <c r="AC21" i="8"/>
  <c r="AB21" i="8"/>
  <c r="AA21" i="8"/>
  <c r="Y21" i="8"/>
  <c r="X21" i="8"/>
  <c r="W21" i="8"/>
  <c r="U21" i="8"/>
  <c r="T21" i="8"/>
  <c r="S21" i="8"/>
  <c r="R21" i="8"/>
  <c r="Q21" i="8"/>
  <c r="O21" i="8"/>
  <c r="N21" i="8"/>
  <c r="C21" i="8"/>
  <c r="B21" i="8"/>
  <c r="M18" i="8"/>
  <c r="M63" i="8" s="1"/>
  <c r="L18" i="8"/>
  <c r="K18" i="8"/>
  <c r="J18" i="8"/>
  <c r="I18" i="8"/>
  <c r="I21" i="8" s="1"/>
  <c r="H18" i="8"/>
  <c r="H21" i="8" s="1"/>
  <c r="G18" i="8"/>
  <c r="G63" i="8" s="1"/>
  <c r="E18" i="8"/>
  <c r="H14" i="8"/>
  <c r="AD28" i="8" s="1"/>
  <c r="H13" i="8"/>
  <c r="AD27" i="8" s="1"/>
  <c r="AD29" i="8" s="1"/>
  <c r="B8" i="8"/>
  <c r="E7" i="8"/>
  <c r="H11" i="8" s="1"/>
  <c r="R48" i="8" s="1"/>
  <c r="R47" i="8" s="1"/>
  <c r="C17" i="7"/>
  <c r="B17" i="7"/>
  <c r="C14" i="7"/>
  <c r="B14" i="7"/>
  <c r="C10" i="7"/>
  <c r="B10" i="7"/>
  <c r="C8" i="7"/>
  <c r="B8" i="7"/>
  <c r="C18" i="7"/>
  <c r="C9" i="7"/>
  <c r="AL63" i="6"/>
  <c r="AK63" i="6"/>
  <c r="AJ63" i="6"/>
  <c r="AI63" i="6"/>
  <c r="AH63" i="6"/>
  <c r="AG63" i="6"/>
  <c r="AF63" i="6"/>
  <c r="AE63" i="6"/>
  <c r="AD63" i="6"/>
  <c r="AC63" i="6"/>
  <c r="AB63" i="6"/>
  <c r="AA63" i="6"/>
  <c r="Z63" i="6"/>
  <c r="Y63" i="6"/>
  <c r="X63" i="6"/>
  <c r="W63" i="6"/>
  <c r="V63" i="6"/>
  <c r="U63" i="6"/>
  <c r="T63" i="6"/>
  <c r="S63" i="6"/>
  <c r="R63" i="6"/>
  <c r="Q63" i="6"/>
  <c r="P63" i="6"/>
  <c r="O63" i="6"/>
  <c r="N63" i="6"/>
  <c r="J63" i="6"/>
  <c r="E63" i="6"/>
  <c r="B63" i="6"/>
  <c r="C61" i="6"/>
  <c r="AL60" i="6"/>
  <c r="AL61" i="6" s="1"/>
  <c r="AL64" i="6" s="1"/>
  <c r="AK60" i="6"/>
  <c r="AK61" i="6" s="1"/>
  <c r="AK64" i="6" s="1"/>
  <c r="AJ60" i="6"/>
  <c r="AJ61" i="6" s="1"/>
  <c r="AJ64" i="6" s="1"/>
  <c r="AI60" i="6"/>
  <c r="AI61" i="6" s="1"/>
  <c r="AI64" i="6" s="1"/>
  <c r="AH60" i="6"/>
  <c r="AH61" i="6" s="1"/>
  <c r="AH64" i="6" s="1"/>
  <c r="AG60" i="6"/>
  <c r="AG61" i="6" s="1"/>
  <c r="AG64" i="6" s="1"/>
  <c r="AF60" i="6"/>
  <c r="AF61" i="6" s="1"/>
  <c r="AF64" i="6" s="1"/>
  <c r="AE60" i="6"/>
  <c r="AE61" i="6" s="1"/>
  <c r="AE64" i="6" s="1"/>
  <c r="AD60" i="6"/>
  <c r="AD61" i="6" s="1"/>
  <c r="AD64" i="6" s="1"/>
  <c r="AC60" i="6"/>
  <c r="AC61" i="6" s="1"/>
  <c r="AC64" i="6" s="1"/>
  <c r="AB60" i="6"/>
  <c r="AB61" i="6" s="1"/>
  <c r="AB64" i="6" s="1"/>
  <c r="AA60" i="6"/>
  <c r="AA61" i="6" s="1"/>
  <c r="AA64" i="6" s="1"/>
  <c r="Z60" i="6"/>
  <c r="Z61" i="6" s="1"/>
  <c r="Z64" i="6" s="1"/>
  <c r="Y60" i="6"/>
  <c r="Y61" i="6" s="1"/>
  <c r="Y64" i="6" s="1"/>
  <c r="X60" i="6"/>
  <c r="X61" i="6" s="1"/>
  <c r="X64" i="6" s="1"/>
  <c r="W60" i="6"/>
  <c r="W61" i="6" s="1"/>
  <c r="W64" i="6" s="1"/>
  <c r="V60" i="6"/>
  <c r="V61" i="6" s="1"/>
  <c r="V64" i="6" s="1"/>
  <c r="U60" i="6"/>
  <c r="U61" i="6" s="1"/>
  <c r="U64" i="6" s="1"/>
  <c r="T60" i="6"/>
  <c r="T61" i="6" s="1"/>
  <c r="T64" i="6" s="1"/>
  <c r="S60" i="6"/>
  <c r="S61" i="6" s="1"/>
  <c r="S64" i="6" s="1"/>
  <c r="R60" i="6"/>
  <c r="R61" i="6" s="1"/>
  <c r="R64" i="6" s="1"/>
  <c r="Q60" i="6"/>
  <c r="Q61" i="6" s="1"/>
  <c r="Q64" i="6" s="1"/>
  <c r="P60" i="6"/>
  <c r="P61" i="6" s="1"/>
  <c r="P64" i="6" s="1"/>
  <c r="O60" i="6"/>
  <c r="O61" i="6" s="1"/>
  <c r="O64" i="6" s="1"/>
  <c r="N60" i="6"/>
  <c r="N61" i="6" s="1"/>
  <c r="N64" i="6" s="1"/>
  <c r="M60" i="6"/>
  <c r="M61" i="6" s="1"/>
  <c r="M64" i="6" s="1"/>
  <c r="L60" i="6"/>
  <c r="L61" i="6" s="1"/>
  <c r="L64" i="6" s="1"/>
  <c r="K60" i="6"/>
  <c r="K61" i="6" s="1"/>
  <c r="K64" i="6" s="1"/>
  <c r="J60" i="6"/>
  <c r="J61" i="6" s="1"/>
  <c r="J64" i="6" s="1"/>
  <c r="I60" i="6"/>
  <c r="I61" i="6" s="1"/>
  <c r="I64" i="6" s="1"/>
  <c r="H60" i="6"/>
  <c r="G60" i="6"/>
  <c r="G61" i="6" s="1"/>
  <c r="G64" i="6" s="1"/>
  <c r="F60" i="6"/>
  <c r="F61" i="6" s="1"/>
  <c r="F64" i="6" s="1"/>
  <c r="E60" i="6"/>
  <c r="E61" i="6" s="1"/>
  <c r="E64" i="6" s="1"/>
  <c r="F55" i="6"/>
  <c r="E55" i="6"/>
  <c r="F54" i="6"/>
  <c r="E54" i="6"/>
  <c r="AL53" i="6"/>
  <c r="AK53" i="6"/>
  <c r="AJ53" i="6"/>
  <c r="AI53" i="6"/>
  <c r="AH53" i="6"/>
  <c r="AG53" i="6"/>
  <c r="AF53" i="6"/>
  <c r="AE53" i="6"/>
  <c r="AD53" i="6"/>
  <c r="AC53" i="6"/>
  <c r="AB53" i="6"/>
  <c r="AA53" i="6"/>
  <c r="Z53" i="6"/>
  <c r="Y53" i="6"/>
  <c r="X53" i="6"/>
  <c r="W53" i="6"/>
  <c r="V53" i="6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E53" i="6"/>
  <c r="F48" i="6"/>
  <c r="E48" i="6"/>
  <c r="F47" i="6"/>
  <c r="E47" i="6"/>
  <c r="F46" i="6"/>
  <c r="E46" i="6"/>
  <c r="F45" i="6"/>
  <c r="E45" i="6"/>
  <c r="AL44" i="6"/>
  <c r="AK44" i="6"/>
  <c r="AJ44" i="6"/>
  <c r="AI44" i="6"/>
  <c r="AH44" i="6"/>
  <c r="AG44" i="6"/>
  <c r="AF44" i="6"/>
  <c r="AE44" i="6"/>
  <c r="AD44" i="6"/>
  <c r="AC44" i="6"/>
  <c r="AB44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E44" i="6"/>
  <c r="AK38" i="6"/>
  <c r="AK39" i="6" s="1"/>
  <c r="AK40" i="6" s="1"/>
  <c r="Z38" i="6"/>
  <c r="Z39" i="6" s="1"/>
  <c r="Z40" i="6" s="1"/>
  <c r="T38" i="6"/>
  <c r="T39" i="6" s="1"/>
  <c r="T40" i="6" s="1"/>
  <c r="I38" i="6"/>
  <c r="I39" i="6" s="1"/>
  <c r="I40" i="6" s="1"/>
  <c r="G38" i="6"/>
  <c r="G39" i="6" s="1"/>
  <c r="G40" i="6" s="1"/>
  <c r="F38" i="6"/>
  <c r="F39" i="6" s="1"/>
  <c r="F40" i="6" s="1"/>
  <c r="AL37" i="6"/>
  <c r="AK37" i="6"/>
  <c r="AJ37" i="6"/>
  <c r="AI37" i="6"/>
  <c r="AH37" i="6"/>
  <c r="AG37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E37" i="6"/>
  <c r="AL36" i="6"/>
  <c r="AK36" i="6"/>
  <c r="AJ36" i="6"/>
  <c r="AI36" i="6"/>
  <c r="AH36" i="6"/>
  <c r="AG36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E36" i="6"/>
  <c r="AL35" i="6"/>
  <c r="AK35" i="6"/>
  <c r="AJ35" i="6"/>
  <c r="AI35" i="6"/>
  <c r="AH35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E35" i="6"/>
  <c r="AL34" i="6"/>
  <c r="AI34" i="6"/>
  <c r="AG34" i="6"/>
  <c r="AA34" i="6"/>
  <c r="W34" i="6"/>
  <c r="V34" i="6"/>
  <c r="U34" i="6"/>
  <c r="T34" i="6"/>
  <c r="P34" i="6"/>
  <c r="L34" i="6"/>
  <c r="K34" i="6"/>
  <c r="E34" i="6"/>
  <c r="E43" i="6" s="1"/>
  <c r="AL30" i="6"/>
  <c r="AK30" i="6"/>
  <c r="AH30" i="6"/>
  <c r="AB30" i="6"/>
  <c r="H30" i="6"/>
  <c r="G30" i="6"/>
  <c r="F28" i="6"/>
  <c r="E28" i="6"/>
  <c r="Z27" i="6"/>
  <c r="Z29" i="6" s="1"/>
  <c r="Y27" i="6"/>
  <c r="Y29" i="6" s="1"/>
  <c r="L27" i="6"/>
  <c r="L29" i="6" s="1"/>
  <c r="K27" i="6"/>
  <c r="K29" i="6" s="1"/>
  <c r="E27" i="6"/>
  <c r="AJ30" i="6"/>
  <c r="AI30" i="6"/>
  <c r="AG30" i="6"/>
  <c r="AE30" i="6"/>
  <c r="AA30" i="6"/>
  <c r="Z30" i="6"/>
  <c r="Y30" i="6"/>
  <c r="X30" i="6"/>
  <c r="V30" i="6"/>
  <c r="T30" i="6"/>
  <c r="R30" i="6"/>
  <c r="Q30" i="6"/>
  <c r="P30" i="6"/>
  <c r="O30" i="6"/>
  <c r="N30" i="6"/>
  <c r="M30" i="6"/>
  <c r="L30" i="6"/>
  <c r="K30" i="6"/>
  <c r="F30" i="6"/>
  <c r="C22" i="6"/>
  <c r="AL21" i="6"/>
  <c r="AK21" i="6"/>
  <c r="AJ21" i="6"/>
  <c r="AI21" i="6"/>
  <c r="AF21" i="6"/>
  <c r="AC21" i="6"/>
  <c r="AB21" i="6"/>
  <c r="AA21" i="6"/>
  <c r="Z21" i="6"/>
  <c r="Y21" i="6"/>
  <c r="V21" i="6"/>
  <c r="U21" i="6"/>
  <c r="S21" i="6"/>
  <c r="R21" i="6"/>
  <c r="P21" i="6"/>
  <c r="O21" i="6"/>
  <c r="L21" i="6"/>
  <c r="E21" i="6"/>
  <c r="B21" i="6"/>
  <c r="M18" i="6"/>
  <c r="L18" i="6"/>
  <c r="L63" i="6" s="1"/>
  <c r="K18" i="6"/>
  <c r="K63" i="6" s="1"/>
  <c r="J18" i="6"/>
  <c r="I18" i="6"/>
  <c r="I63" i="6" s="1"/>
  <c r="H18" i="6"/>
  <c r="H21" i="6" s="1"/>
  <c r="G18" i="6"/>
  <c r="E18" i="6"/>
  <c r="F18" i="6" s="1"/>
  <c r="H14" i="6"/>
  <c r="Y28" i="6" s="1"/>
  <c r="H13" i="6"/>
  <c r="AL27" i="6" s="1"/>
  <c r="AL29" i="6" s="1"/>
  <c r="H12" i="6"/>
  <c r="H11" i="6"/>
  <c r="B8" i="6"/>
  <c r="E7" i="6"/>
  <c r="AL63" i="5"/>
  <c r="AK63" i="5"/>
  <c r="AJ63" i="5"/>
  <c r="AI63" i="5"/>
  <c r="AI60" i="5" s="1"/>
  <c r="AI61" i="5" s="1"/>
  <c r="AI64" i="5" s="1"/>
  <c r="AH63" i="5"/>
  <c r="AH60" i="5" s="1"/>
  <c r="AH61" i="5" s="1"/>
  <c r="AH64" i="5" s="1"/>
  <c r="AG63" i="5"/>
  <c r="AG60" i="5" s="1"/>
  <c r="AG61" i="5" s="1"/>
  <c r="AG64" i="5" s="1"/>
  <c r="AF63" i="5"/>
  <c r="AF60" i="5" s="1"/>
  <c r="AF61" i="5" s="1"/>
  <c r="AF64" i="5" s="1"/>
  <c r="AE63" i="5"/>
  <c r="AD63" i="5"/>
  <c r="AC63" i="5"/>
  <c r="AB63" i="5"/>
  <c r="AA63" i="5"/>
  <c r="Z63" i="5"/>
  <c r="Y63" i="5"/>
  <c r="X63" i="5"/>
  <c r="W63" i="5"/>
  <c r="W60" i="5" s="1"/>
  <c r="W61" i="5" s="1"/>
  <c r="W64" i="5" s="1"/>
  <c r="V63" i="5"/>
  <c r="V60" i="5" s="1"/>
  <c r="V61" i="5" s="1"/>
  <c r="V64" i="5" s="1"/>
  <c r="U63" i="5"/>
  <c r="T63" i="5"/>
  <c r="S63" i="5"/>
  <c r="R63" i="5"/>
  <c r="Q63" i="5"/>
  <c r="P63" i="5"/>
  <c r="O63" i="5"/>
  <c r="N63" i="5"/>
  <c r="AL62" i="5"/>
  <c r="AL65" i="5" s="1"/>
  <c r="AK62" i="5"/>
  <c r="AK65" i="5" s="1"/>
  <c r="AJ62" i="5"/>
  <c r="AJ65" i="5" s="1"/>
  <c r="AI62" i="5"/>
  <c r="AI65" i="5" s="1"/>
  <c r="AH62" i="5"/>
  <c r="AH65" i="5" s="1"/>
  <c r="AG62" i="5"/>
  <c r="AG65" i="5" s="1"/>
  <c r="AF62" i="5"/>
  <c r="AF65" i="5" s="1"/>
  <c r="AE62" i="5"/>
  <c r="AE65" i="5" s="1"/>
  <c r="AD62" i="5"/>
  <c r="AD65" i="5" s="1"/>
  <c r="AC62" i="5"/>
  <c r="AC65" i="5" s="1"/>
  <c r="AB62" i="5"/>
  <c r="AB65" i="5" s="1"/>
  <c r="AA62" i="5"/>
  <c r="AA65" i="5" s="1"/>
  <c r="Z62" i="5"/>
  <c r="Z65" i="5" s="1"/>
  <c r="Y62" i="5"/>
  <c r="Y65" i="5" s="1"/>
  <c r="X62" i="5"/>
  <c r="X65" i="5" s="1"/>
  <c r="W62" i="5"/>
  <c r="W65" i="5" s="1"/>
  <c r="V62" i="5"/>
  <c r="V65" i="5" s="1"/>
  <c r="U62" i="5"/>
  <c r="U65" i="5" s="1"/>
  <c r="T62" i="5"/>
  <c r="T65" i="5" s="1"/>
  <c r="S62" i="5"/>
  <c r="S65" i="5" s="1"/>
  <c r="R62" i="5"/>
  <c r="R65" i="5" s="1"/>
  <c r="Q62" i="5"/>
  <c r="Q65" i="5" s="1"/>
  <c r="P62" i="5"/>
  <c r="P65" i="5" s="1"/>
  <c r="O62" i="5"/>
  <c r="O65" i="5" s="1"/>
  <c r="N62" i="5"/>
  <c r="N65" i="5" s="1"/>
  <c r="F55" i="5"/>
  <c r="E55" i="5"/>
  <c r="F54" i="5"/>
  <c r="E54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E53" i="5"/>
  <c r="F48" i="5"/>
  <c r="E48" i="5"/>
  <c r="F47" i="5"/>
  <c r="E47" i="5"/>
  <c r="F46" i="5"/>
  <c r="E46" i="5"/>
  <c r="F45" i="5"/>
  <c r="E45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E44" i="5"/>
  <c r="AL38" i="5"/>
  <c r="AL39" i="5" s="1"/>
  <c r="AL40" i="5" s="1"/>
  <c r="AK38" i="5"/>
  <c r="AK39" i="5" s="1"/>
  <c r="AK40" i="5" s="1"/>
  <c r="AJ38" i="5"/>
  <c r="AJ39" i="5" s="1"/>
  <c r="AJ40" i="5" s="1"/>
  <c r="AI38" i="5"/>
  <c r="AI39" i="5" s="1"/>
  <c r="AI40" i="5" s="1"/>
  <c r="AH38" i="5"/>
  <c r="AH39" i="5" s="1"/>
  <c r="AH40" i="5" s="1"/>
  <c r="AG38" i="5"/>
  <c r="AG39" i="5" s="1"/>
  <c r="AG40" i="5" s="1"/>
  <c r="AF38" i="5"/>
  <c r="AF39" i="5" s="1"/>
  <c r="AF40" i="5" s="1"/>
  <c r="AE38" i="5"/>
  <c r="AE39" i="5" s="1"/>
  <c r="AE40" i="5" s="1"/>
  <c r="AD38" i="5"/>
  <c r="AD39" i="5" s="1"/>
  <c r="AD40" i="5" s="1"/>
  <c r="AC38" i="5"/>
  <c r="AC39" i="5" s="1"/>
  <c r="AC40" i="5" s="1"/>
  <c r="AB38" i="5"/>
  <c r="AB39" i="5" s="1"/>
  <c r="AB40" i="5" s="1"/>
  <c r="AA38" i="5"/>
  <c r="AA39" i="5" s="1"/>
  <c r="AA40" i="5" s="1"/>
  <c r="Z38" i="5"/>
  <c r="Z39" i="5" s="1"/>
  <c r="Z40" i="5" s="1"/>
  <c r="Y38" i="5"/>
  <c r="Y39" i="5" s="1"/>
  <c r="Y40" i="5" s="1"/>
  <c r="X38" i="5"/>
  <c r="X39" i="5" s="1"/>
  <c r="X40" i="5" s="1"/>
  <c r="W38" i="5"/>
  <c r="W39" i="5" s="1"/>
  <c r="W40" i="5" s="1"/>
  <c r="V38" i="5"/>
  <c r="V39" i="5" s="1"/>
  <c r="V40" i="5" s="1"/>
  <c r="U38" i="5"/>
  <c r="U39" i="5" s="1"/>
  <c r="U40" i="5" s="1"/>
  <c r="T38" i="5"/>
  <c r="T39" i="5" s="1"/>
  <c r="T40" i="5" s="1"/>
  <c r="S38" i="5"/>
  <c r="S39" i="5" s="1"/>
  <c r="S40" i="5" s="1"/>
  <c r="R38" i="5"/>
  <c r="R39" i="5" s="1"/>
  <c r="R40" i="5" s="1"/>
  <c r="Q38" i="5"/>
  <c r="Q39" i="5" s="1"/>
  <c r="Q40" i="5" s="1"/>
  <c r="P38" i="5"/>
  <c r="P39" i="5" s="1"/>
  <c r="P40" i="5" s="1"/>
  <c r="O38" i="5"/>
  <c r="O39" i="5" s="1"/>
  <c r="O40" i="5" s="1"/>
  <c r="N38" i="5"/>
  <c r="N39" i="5" s="1"/>
  <c r="N40" i="5" s="1"/>
  <c r="M38" i="5"/>
  <c r="M39" i="5" s="1"/>
  <c r="M40" i="5" s="1"/>
  <c r="L38" i="5"/>
  <c r="L39" i="5" s="1"/>
  <c r="L40" i="5" s="1"/>
  <c r="K38" i="5"/>
  <c r="K39" i="5" s="1"/>
  <c r="K40" i="5" s="1"/>
  <c r="J38" i="5"/>
  <c r="J39" i="5" s="1"/>
  <c r="J40" i="5" s="1"/>
  <c r="I38" i="5"/>
  <c r="I39" i="5" s="1"/>
  <c r="I40" i="5" s="1"/>
  <c r="H38" i="5"/>
  <c r="H39" i="5" s="1"/>
  <c r="H40" i="5" s="1"/>
  <c r="E38" i="5"/>
  <c r="E39" i="5" s="1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E37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E36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E35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E28" i="5"/>
  <c r="E27" i="5"/>
  <c r="E29" i="5" s="1"/>
  <c r="AK30" i="5"/>
  <c r="AH30" i="5"/>
  <c r="AG30" i="5"/>
  <c r="AF30" i="5"/>
  <c r="AE30" i="5"/>
  <c r="Z30" i="5"/>
  <c r="U30" i="5"/>
  <c r="P30" i="5"/>
  <c r="N30" i="5"/>
  <c r="M30" i="5"/>
  <c r="K30" i="5"/>
  <c r="AJ21" i="5"/>
  <c r="AJ24" i="5" s="1"/>
  <c r="Z21" i="5"/>
  <c r="Z24" i="5" s="1"/>
  <c r="P21" i="5"/>
  <c r="P24" i="5" s="1"/>
  <c r="M18" i="5"/>
  <c r="M34" i="5" s="1"/>
  <c r="L18" i="5"/>
  <c r="K18" i="5"/>
  <c r="J18" i="5"/>
  <c r="I18" i="5"/>
  <c r="H18" i="5"/>
  <c r="F18" i="5"/>
  <c r="F21" i="5" s="1"/>
  <c r="F24" i="5" s="1"/>
  <c r="E18" i="5"/>
  <c r="G18" i="5" s="1"/>
  <c r="H14" i="5"/>
  <c r="AK28" i="5" s="1"/>
  <c r="H13" i="5"/>
  <c r="AH27" i="5" s="1"/>
  <c r="AH29" i="5" s="1"/>
  <c r="B8" i="5"/>
  <c r="AK21" i="5" s="1"/>
  <c r="AK24" i="5" s="1"/>
  <c r="E7" i="5"/>
  <c r="H12" i="5" s="1"/>
  <c r="X28" i="9" l="1"/>
  <c r="S27" i="9"/>
  <c r="S29" i="9" s="1"/>
  <c r="AJ28" i="9"/>
  <c r="AI21" i="9"/>
  <c r="AC34" i="9"/>
  <c r="N28" i="9"/>
  <c r="W28" i="9"/>
  <c r="M28" i="9"/>
  <c r="R27" i="9"/>
  <c r="R29" i="9" s="1"/>
  <c r="AI28" i="9"/>
  <c r="H63" i="8"/>
  <c r="G21" i="8"/>
  <c r="E43" i="8"/>
  <c r="E60" i="9"/>
  <c r="E61" i="9" s="1"/>
  <c r="E64" i="9" s="1"/>
  <c r="L34" i="9"/>
  <c r="AH21" i="9"/>
  <c r="K34" i="9"/>
  <c r="AD34" i="9"/>
  <c r="E21" i="9"/>
  <c r="U38" i="9"/>
  <c r="U39" i="9" s="1"/>
  <c r="U40" i="9" s="1"/>
  <c r="V38" i="9"/>
  <c r="V39" i="9" s="1"/>
  <c r="V40" i="9" s="1"/>
  <c r="O21" i="9"/>
  <c r="N21" i="9"/>
  <c r="X21" i="9"/>
  <c r="D30" i="9"/>
  <c r="E7" i="9"/>
  <c r="F63" i="9"/>
  <c r="G63" i="9"/>
  <c r="F21" i="9"/>
  <c r="P21" i="9"/>
  <c r="Z21" i="9"/>
  <c r="AJ21" i="9"/>
  <c r="J27" i="9"/>
  <c r="J29" i="9" s="1"/>
  <c r="T27" i="9"/>
  <c r="T29" i="9" s="1"/>
  <c r="AD27" i="9"/>
  <c r="AD29" i="9" s="1"/>
  <c r="O28" i="9"/>
  <c r="Y28" i="9"/>
  <c r="AK28" i="9"/>
  <c r="P34" i="9"/>
  <c r="AE34" i="9"/>
  <c r="I38" i="9"/>
  <c r="I39" i="9" s="1"/>
  <c r="I40" i="9" s="1"/>
  <c r="Z38" i="9"/>
  <c r="Z39" i="9" s="1"/>
  <c r="Z40" i="9" s="1"/>
  <c r="G21" i="9"/>
  <c r="AK21" i="9"/>
  <c r="U27" i="9"/>
  <c r="U29" i="9" s="1"/>
  <c r="AE27" i="9"/>
  <c r="AE29" i="9" s="1"/>
  <c r="F28" i="9"/>
  <c r="P28" i="9"/>
  <c r="Z28" i="9"/>
  <c r="AL28" i="9"/>
  <c r="R34" i="9"/>
  <c r="AF34" i="9"/>
  <c r="J38" i="9"/>
  <c r="J39" i="9" s="1"/>
  <c r="J40" i="9" s="1"/>
  <c r="AB38" i="9"/>
  <c r="AB39" i="9" s="1"/>
  <c r="AB40" i="9" s="1"/>
  <c r="Q21" i="9"/>
  <c r="K27" i="9"/>
  <c r="K29" i="9" s="1"/>
  <c r="H21" i="9"/>
  <c r="R21" i="9"/>
  <c r="AB21" i="9"/>
  <c r="AL21" i="9"/>
  <c r="L27" i="9"/>
  <c r="L29" i="9" s="1"/>
  <c r="V27" i="9"/>
  <c r="V29" i="9" s="1"/>
  <c r="AF27" i="9"/>
  <c r="AF29" i="9" s="1"/>
  <c r="G28" i="9"/>
  <c r="Q28" i="9"/>
  <c r="AA28" i="9"/>
  <c r="S34" i="9"/>
  <c r="AJ34" i="9"/>
  <c r="K38" i="9"/>
  <c r="K39" i="9" s="1"/>
  <c r="K40" i="9" s="1"/>
  <c r="AC38" i="9"/>
  <c r="AC39" i="9" s="1"/>
  <c r="AC40" i="9" s="1"/>
  <c r="AA21" i="9"/>
  <c r="I21" i="9"/>
  <c r="S21" i="9"/>
  <c r="AC21" i="9"/>
  <c r="M27" i="9"/>
  <c r="M29" i="9" s="1"/>
  <c r="W27" i="9"/>
  <c r="W29" i="9" s="1"/>
  <c r="AG27" i="9"/>
  <c r="AG29" i="9" s="1"/>
  <c r="H28" i="9"/>
  <c r="R28" i="9"/>
  <c r="AB28" i="9"/>
  <c r="E29" i="9"/>
  <c r="T34" i="9"/>
  <c r="AL34" i="9"/>
  <c r="L38" i="9"/>
  <c r="L39" i="9" s="1"/>
  <c r="L40" i="9" s="1"/>
  <c r="AD38" i="9"/>
  <c r="AD39" i="9" s="1"/>
  <c r="AD40" i="9" s="1"/>
  <c r="J21" i="9"/>
  <c r="T21" i="9"/>
  <c r="AD21" i="9"/>
  <c r="N27" i="9"/>
  <c r="N29" i="9" s="1"/>
  <c r="X27" i="9"/>
  <c r="X29" i="9" s="1"/>
  <c r="AH27" i="9"/>
  <c r="AH29" i="9" s="1"/>
  <c r="I28" i="9"/>
  <c r="S28" i="9"/>
  <c r="AC28" i="9"/>
  <c r="U34" i="9"/>
  <c r="P38" i="9"/>
  <c r="P39" i="9" s="1"/>
  <c r="P40" i="9" s="1"/>
  <c r="AE38" i="9"/>
  <c r="AE39" i="9" s="1"/>
  <c r="AE40" i="9" s="1"/>
  <c r="U21" i="9"/>
  <c r="O27" i="9"/>
  <c r="Y27" i="9"/>
  <c r="Y29" i="9" s="1"/>
  <c r="AI27" i="9"/>
  <c r="AI29" i="9" s="1"/>
  <c r="J28" i="9"/>
  <c r="T28" i="9"/>
  <c r="AD28" i="9"/>
  <c r="V34" i="9"/>
  <c r="R38" i="9"/>
  <c r="R39" i="9" s="1"/>
  <c r="R40" i="9" s="1"/>
  <c r="AF38" i="9"/>
  <c r="AF39" i="9" s="1"/>
  <c r="AF40" i="9" s="1"/>
  <c r="E58" i="9"/>
  <c r="AI38" i="9"/>
  <c r="AI39" i="9" s="1"/>
  <c r="AI40" i="9" s="1"/>
  <c r="Y38" i="9"/>
  <c r="Y39" i="9" s="1"/>
  <c r="Y40" i="9" s="1"/>
  <c r="O38" i="9"/>
  <c r="O39" i="9" s="1"/>
  <c r="O40" i="9" s="1"/>
  <c r="E38" i="9"/>
  <c r="AI34" i="9"/>
  <c r="Y34" i="9"/>
  <c r="O34" i="9"/>
  <c r="AH38" i="9"/>
  <c r="AH39" i="9" s="1"/>
  <c r="AH40" i="9" s="1"/>
  <c r="X38" i="9"/>
  <c r="X39" i="9" s="1"/>
  <c r="X40" i="9" s="1"/>
  <c r="N38" i="9"/>
  <c r="N39" i="9" s="1"/>
  <c r="N40" i="9" s="1"/>
  <c r="AH34" i="9"/>
  <c r="X34" i="9"/>
  <c r="N34" i="9"/>
  <c r="B62" i="9"/>
  <c r="C62" i="9" s="1"/>
  <c r="H62" i="9" s="1"/>
  <c r="H65" i="9" s="1"/>
  <c r="AG38" i="9"/>
  <c r="AG39" i="9" s="1"/>
  <c r="AG40" i="9" s="1"/>
  <c r="W38" i="9"/>
  <c r="W39" i="9" s="1"/>
  <c r="W40" i="9" s="1"/>
  <c r="M38" i="9"/>
  <c r="M39" i="9" s="1"/>
  <c r="M40" i="9" s="1"/>
  <c r="AG34" i="9"/>
  <c r="W34" i="9"/>
  <c r="M34" i="9"/>
  <c r="AK38" i="9"/>
  <c r="AK39" i="9" s="1"/>
  <c r="AK40" i="9" s="1"/>
  <c r="AA38" i="9"/>
  <c r="AA39" i="9" s="1"/>
  <c r="AA40" i="9" s="1"/>
  <c r="Q38" i="9"/>
  <c r="Q39" i="9" s="1"/>
  <c r="Q40" i="9" s="1"/>
  <c r="G38" i="9"/>
  <c r="G39" i="9" s="1"/>
  <c r="G40" i="9" s="1"/>
  <c r="AK34" i="9"/>
  <c r="AA34" i="9"/>
  <c r="Q34" i="9"/>
  <c r="V21" i="9"/>
  <c r="F27" i="9"/>
  <c r="F29" i="9" s="1"/>
  <c r="F31" i="9" s="1"/>
  <c r="Z27" i="9"/>
  <c r="Z29" i="9" s="1"/>
  <c r="I34" i="9"/>
  <c r="S38" i="9"/>
  <c r="S39" i="9" s="1"/>
  <c r="S40" i="9" s="1"/>
  <c r="AJ38" i="9"/>
  <c r="AJ39" i="9" s="1"/>
  <c r="AJ40" i="9" s="1"/>
  <c r="K21" i="9"/>
  <c r="AE21" i="9"/>
  <c r="AG28" i="9"/>
  <c r="AE28" i="9"/>
  <c r="L21" i="9"/>
  <c r="AF21" i="9"/>
  <c r="P27" i="9"/>
  <c r="P29" i="9" s="1"/>
  <c r="AJ27" i="9"/>
  <c r="AJ29" i="9" s="1"/>
  <c r="K28" i="9"/>
  <c r="AF28" i="9"/>
  <c r="Z34" i="9"/>
  <c r="C21" i="9"/>
  <c r="M21" i="9"/>
  <c r="W21" i="9"/>
  <c r="AG21" i="9"/>
  <c r="G27" i="9"/>
  <c r="G29" i="9" s="1"/>
  <c r="Q27" i="9"/>
  <c r="Q29" i="9" s="1"/>
  <c r="AA27" i="9"/>
  <c r="AA29" i="9" s="1"/>
  <c r="L28" i="9"/>
  <c r="V28" i="9"/>
  <c r="AH28" i="9"/>
  <c r="J34" i="9"/>
  <c r="AB34" i="9"/>
  <c r="T38" i="9"/>
  <c r="T39" i="9" s="1"/>
  <c r="T40" i="9" s="1"/>
  <c r="AL38" i="9"/>
  <c r="AL39" i="9" s="1"/>
  <c r="AL40" i="9" s="1"/>
  <c r="F28" i="8"/>
  <c r="S28" i="8"/>
  <c r="AF28" i="8"/>
  <c r="T28" i="8"/>
  <c r="AI28" i="8"/>
  <c r="AH28" i="8"/>
  <c r="G28" i="8"/>
  <c r="Q28" i="8"/>
  <c r="W28" i="8"/>
  <c r="J28" i="8"/>
  <c r="H28" i="8"/>
  <c r="AE27" i="8"/>
  <c r="AE29" i="8" s="1"/>
  <c r="M28" i="8"/>
  <c r="AA28" i="8"/>
  <c r="I28" i="8"/>
  <c r="Y28" i="8"/>
  <c r="AF27" i="8"/>
  <c r="AF29" i="8" s="1"/>
  <c r="N28" i="8"/>
  <c r="AC28" i="8"/>
  <c r="U28" i="8"/>
  <c r="AJ28" i="8"/>
  <c r="X28" i="8"/>
  <c r="L28" i="8"/>
  <c r="AG27" i="8"/>
  <c r="AG29" i="8" s="1"/>
  <c r="P28" i="8"/>
  <c r="H12" i="8"/>
  <c r="N11" i="8"/>
  <c r="N10" i="8" s="1"/>
  <c r="H37" i="8" s="1"/>
  <c r="K63" i="8"/>
  <c r="K21" i="8"/>
  <c r="AA24" i="8"/>
  <c r="AB51" i="8" s="1"/>
  <c r="AH48" i="8"/>
  <c r="AH47" i="8" s="1"/>
  <c r="X48" i="8"/>
  <c r="X47" i="8" s="1"/>
  <c r="N48" i="8"/>
  <c r="N47" i="8" s="1"/>
  <c r="AG48" i="8"/>
  <c r="AG47" i="8" s="1"/>
  <c r="W48" i="8"/>
  <c r="W47" i="8" s="1"/>
  <c r="M48" i="8"/>
  <c r="M47" i="8" s="1"/>
  <c r="AF48" i="8"/>
  <c r="AF47" i="8" s="1"/>
  <c r="V48" i="8"/>
  <c r="V47" i="8" s="1"/>
  <c r="L48" i="8"/>
  <c r="L47" i="8" s="1"/>
  <c r="AE48" i="8"/>
  <c r="AE47" i="8" s="1"/>
  <c r="U48" i="8"/>
  <c r="U47" i="8" s="1"/>
  <c r="K48" i="8"/>
  <c r="K47" i="8" s="1"/>
  <c r="AD48" i="8"/>
  <c r="AD47" i="8" s="1"/>
  <c r="T48" i="8"/>
  <c r="T47" i="8" s="1"/>
  <c r="J48" i="8"/>
  <c r="J47" i="8" s="1"/>
  <c r="AC48" i="8"/>
  <c r="AC47" i="8" s="1"/>
  <c r="S48" i="8"/>
  <c r="S47" i="8" s="1"/>
  <c r="I48" i="8"/>
  <c r="I47" i="8" s="1"/>
  <c r="AK48" i="8"/>
  <c r="AK47" i="8" s="1"/>
  <c r="AA48" i="8"/>
  <c r="AA47" i="8" s="1"/>
  <c r="Q48" i="8"/>
  <c r="Q47" i="8" s="1"/>
  <c r="G48" i="8"/>
  <c r="G47" i="8" s="1"/>
  <c r="P48" i="8"/>
  <c r="P47" i="8" s="1"/>
  <c r="O48" i="8"/>
  <c r="O47" i="8" s="1"/>
  <c r="AB48" i="8"/>
  <c r="AB47" i="8" s="1"/>
  <c r="Z48" i="8"/>
  <c r="Z47" i="8" s="1"/>
  <c r="H48" i="8"/>
  <c r="H47" i="8" s="1"/>
  <c r="AL48" i="8"/>
  <c r="AL47" i="8" s="1"/>
  <c r="AJ48" i="8"/>
  <c r="AJ47" i="8" s="1"/>
  <c r="AI48" i="8"/>
  <c r="AI47" i="8" s="1"/>
  <c r="I24" i="8"/>
  <c r="S24" i="8"/>
  <c r="AD24" i="8"/>
  <c r="T24" i="8"/>
  <c r="J24" i="8"/>
  <c r="AC24" i="8"/>
  <c r="AJ24" i="8"/>
  <c r="Y48" i="8"/>
  <c r="Y47" i="8" s="1"/>
  <c r="R51" i="8"/>
  <c r="I63" i="8"/>
  <c r="Z24" i="8"/>
  <c r="R24" i="8"/>
  <c r="AK24" i="8"/>
  <c r="AL51" i="8" s="1"/>
  <c r="AI24" i="8"/>
  <c r="G24" i="8"/>
  <c r="H51" i="8" s="1"/>
  <c r="AL24" i="8"/>
  <c r="K30" i="8"/>
  <c r="D22" i="8"/>
  <c r="AE30" i="8"/>
  <c r="H24" i="8"/>
  <c r="J62" i="8"/>
  <c r="J65" i="8" s="1"/>
  <c r="J21" i="8"/>
  <c r="J63" i="8"/>
  <c r="F24" i="8"/>
  <c r="P24" i="8"/>
  <c r="O27" i="8"/>
  <c r="O29" i="8" s="1"/>
  <c r="Y27" i="8"/>
  <c r="Y29" i="8" s="1"/>
  <c r="AI27" i="8"/>
  <c r="AI29" i="8" s="1"/>
  <c r="AL28" i="8"/>
  <c r="AB28" i="8"/>
  <c r="R28" i="8"/>
  <c r="B62" i="8"/>
  <c r="C62" i="8" s="1"/>
  <c r="K62" i="8" s="1"/>
  <c r="K65" i="8" s="1"/>
  <c r="AG38" i="8"/>
  <c r="AG39" i="8" s="1"/>
  <c r="AG40" i="8" s="1"/>
  <c r="W38" i="8"/>
  <c r="W39" i="8" s="1"/>
  <c r="W40" i="8" s="1"/>
  <c r="M38" i="8"/>
  <c r="M39" i="8" s="1"/>
  <c r="M40" i="8" s="1"/>
  <c r="AG34" i="8"/>
  <c r="W34" i="8"/>
  <c r="M34" i="8"/>
  <c r="AF38" i="8"/>
  <c r="AF39" i="8" s="1"/>
  <c r="AF40" i="8" s="1"/>
  <c r="V38" i="8"/>
  <c r="V39" i="8" s="1"/>
  <c r="V40" i="8" s="1"/>
  <c r="L38" i="8"/>
  <c r="L39" i="8" s="1"/>
  <c r="L40" i="8" s="1"/>
  <c r="AF34" i="8"/>
  <c r="AE38" i="8"/>
  <c r="AE39" i="8" s="1"/>
  <c r="AE40" i="8" s="1"/>
  <c r="U38" i="8"/>
  <c r="U39" i="8" s="1"/>
  <c r="U40" i="8" s="1"/>
  <c r="K38" i="8"/>
  <c r="K39" i="8" s="1"/>
  <c r="K40" i="8" s="1"/>
  <c r="F35" i="8"/>
  <c r="D35" i="8" s="1"/>
  <c r="AD38" i="8"/>
  <c r="AD39" i="8" s="1"/>
  <c r="AD40" i="8" s="1"/>
  <c r="T38" i="8"/>
  <c r="T39" i="8" s="1"/>
  <c r="T40" i="8" s="1"/>
  <c r="J38" i="8"/>
  <c r="J39" i="8" s="1"/>
  <c r="J40" i="8" s="1"/>
  <c r="AD34" i="8"/>
  <c r="T34" i="8"/>
  <c r="J34" i="8"/>
  <c r="AC38" i="8"/>
  <c r="AC39" i="8" s="1"/>
  <c r="AC40" i="8" s="1"/>
  <c r="S38" i="8"/>
  <c r="S39" i="8" s="1"/>
  <c r="S40" i="8" s="1"/>
  <c r="I38" i="8"/>
  <c r="I39" i="8" s="1"/>
  <c r="I40" i="8" s="1"/>
  <c r="AL38" i="8"/>
  <c r="AL39" i="8" s="1"/>
  <c r="AL40" i="8" s="1"/>
  <c r="AB38" i="8"/>
  <c r="AB39" i="8" s="1"/>
  <c r="AB40" i="8" s="1"/>
  <c r="AC51" i="8" s="1"/>
  <c r="R38" i="8"/>
  <c r="R39" i="8" s="1"/>
  <c r="R40" i="8" s="1"/>
  <c r="H38" i="8"/>
  <c r="H39" i="8" s="1"/>
  <c r="H40" i="8" s="1"/>
  <c r="AL34" i="8"/>
  <c r="AB34" i="8"/>
  <c r="R34" i="8"/>
  <c r="AJ38" i="8"/>
  <c r="AJ39" i="8" s="1"/>
  <c r="AJ40" i="8" s="1"/>
  <c r="Z38" i="8"/>
  <c r="Z39" i="8" s="1"/>
  <c r="Z40" i="8" s="1"/>
  <c r="P38" i="8"/>
  <c r="P39" i="8" s="1"/>
  <c r="P40" i="8" s="1"/>
  <c r="F38" i="8"/>
  <c r="F39" i="8" s="1"/>
  <c r="F40" i="8" s="1"/>
  <c r="F36" i="8"/>
  <c r="D36" i="8" s="1"/>
  <c r="C14" i="10" s="1"/>
  <c r="AJ34" i="8"/>
  <c r="Z34" i="8"/>
  <c r="L21" i="8"/>
  <c r="V21" i="8"/>
  <c r="AF21" i="8"/>
  <c r="K24" i="8"/>
  <c r="U24" i="8"/>
  <c r="AE24" i="8"/>
  <c r="F27" i="8"/>
  <c r="P27" i="8"/>
  <c r="P29" i="8" s="1"/>
  <c r="Z27" i="8"/>
  <c r="Z29" i="8" s="1"/>
  <c r="AJ27" i="8"/>
  <c r="AJ29" i="8" s="1"/>
  <c r="K28" i="8"/>
  <c r="V28" i="8"/>
  <c r="AG28" i="8"/>
  <c r="G34" i="8"/>
  <c r="U34" i="8"/>
  <c r="AI38" i="8"/>
  <c r="AI39" i="8" s="1"/>
  <c r="AI40" i="8" s="1"/>
  <c r="X27" i="8"/>
  <c r="E63" i="8"/>
  <c r="M21" i="8"/>
  <c r="L24" i="8"/>
  <c r="V24" i="8"/>
  <c r="AF24" i="8"/>
  <c r="G27" i="8"/>
  <c r="G29" i="8" s="1"/>
  <c r="Q27" i="8"/>
  <c r="Q29" i="8" s="1"/>
  <c r="AA27" i="8"/>
  <c r="AA29" i="8" s="1"/>
  <c r="AK27" i="8"/>
  <c r="AK29" i="8" s="1"/>
  <c r="D60" i="8"/>
  <c r="L62" i="8"/>
  <c r="L65" i="8" s="1"/>
  <c r="L63" i="8"/>
  <c r="F18" i="8"/>
  <c r="F43" i="8" s="1"/>
  <c r="M24" i="8"/>
  <c r="W24" i="8"/>
  <c r="AG24" i="8"/>
  <c r="H27" i="8"/>
  <c r="H29" i="8" s="1"/>
  <c r="R27" i="8"/>
  <c r="R29" i="8" s="1"/>
  <c r="AB27" i="8"/>
  <c r="AB29" i="8" s="1"/>
  <c r="AL27" i="8"/>
  <c r="AL29" i="8" s="1"/>
  <c r="E40" i="8"/>
  <c r="AH27" i="8"/>
  <c r="AH29" i="8" s="1"/>
  <c r="G62" i="8"/>
  <c r="G65" i="8" s="1"/>
  <c r="N24" i="8"/>
  <c r="O51" i="8" s="1"/>
  <c r="AH24" i="8"/>
  <c r="AI51" i="8" s="1"/>
  <c r="S27" i="8"/>
  <c r="S29" i="8" s="1"/>
  <c r="E58" i="8"/>
  <c r="N27" i="8"/>
  <c r="N29" i="8" s="1"/>
  <c r="E21" i="8"/>
  <c r="X24" i="8"/>
  <c r="Y51" i="8" s="1"/>
  <c r="Y52" i="8" s="1"/>
  <c r="I27" i="8"/>
  <c r="I29" i="8" s="1"/>
  <c r="AC27" i="8"/>
  <c r="AC29" i="8" s="1"/>
  <c r="H62" i="8"/>
  <c r="H65" i="8" s="1"/>
  <c r="F21" i="8"/>
  <c r="P21" i="8"/>
  <c r="Z21" i="8"/>
  <c r="AJ21" i="8"/>
  <c r="E24" i="8"/>
  <c r="O24" i="8"/>
  <c r="Y24" i="8"/>
  <c r="Z51" i="8" s="1"/>
  <c r="J27" i="8"/>
  <c r="J29" i="8" s="1"/>
  <c r="T27" i="8"/>
  <c r="T29" i="8" s="1"/>
  <c r="O28" i="8"/>
  <c r="Z28" i="8"/>
  <c r="AK28" i="8"/>
  <c r="L34" i="8"/>
  <c r="AA34" i="8"/>
  <c r="O38" i="8"/>
  <c r="O39" i="8" s="1"/>
  <c r="O40" i="8" s="1"/>
  <c r="E61" i="8"/>
  <c r="G28" i="6"/>
  <c r="J28" i="6"/>
  <c r="AJ28" i="6"/>
  <c r="AK28" i="6"/>
  <c r="AL28" i="6"/>
  <c r="D60" i="6"/>
  <c r="N28" i="6"/>
  <c r="J27" i="6"/>
  <c r="J29" i="6" s="1"/>
  <c r="W27" i="6"/>
  <c r="W29" i="6" s="1"/>
  <c r="AE28" i="6"/>
  <c r="M27" i="6"/>
  <c r="M29" i="6" s="1"/>
  <c r="AC27" i="6"/>
  <c r="AC29" i="6" s="1"/>
  <c r="O27" i="6"/>
  <c r="O29" i="6" s="1"/>
  <c r="P27" i="6"/>
  <c r="P29" i="6" s="1"/>
  <c r="S27" i="6"/>
  <c r="S29" i="6" s="1"/>
  <c r="T27" i="6"/>
  <c r="T29" i="6" s="1"/>
  <c r="AG27" i="6"/>
  <c r="AG29" i="6" s="1"/>
  <c r="Q28" i="6"/>
  <c r="AD27" i="6"/>
  <c r="AD29" i="6" s="1"/>
  <c r="O28" i="6"/>
  <c r="P28" i="6"/>
  <c r="F27" i="6"/>
  <c r="F29" i="6" s="1"/>
  <c r="F31" i="6" s="1"/>
  <c r="U27" i="6"/>
  <c r="U29" i="6" s="1"/>
  <c r="AI27" i="6"/>
  <c r="AI29" i="6" s="1"/>
  <c r="AA28" i="6"/>
  <c r="AE27" i="6"/>
  <c r="AE29" i="6" s="1"/>
  <c r="AF27" i="6"/>
  <c r="AF29" i="6" s="1"/>
  <c r="I27" i="6"/>
  <c r="I29" i="6" s="1"/>
  <c r="V27" i="6"/>
  <c r="V29" i="6" s="1"/>
  <c r="AJ27" i="6"/>
  <c r="AJ29" i="6" s="1"/>
  <c r="AB28" i="6"/>
  <c r="G63" i="6"/>
  <c r="G21" i="6"/>
  <c r="AJ48" i="6"/>
  <c r="AJ47" i="6" s="1"/>
  <c r="Z48" i="6"/>
  <c r="Z47" i="6" s="1"/>
  <c r="P48" i="6"/>
  <c r="P47" i="6" s="1"/>
  <c r="AI48" i="6"/>
  <c r="AI47" i="6" s="1"/>
  <c r="Y48" i="6"/>
  <c r="Y47" i="6" s="1"/>
  <c r="O48" i="6"/>
  <c r="O47" i="6" s="1"/>
  <c r="AH48" i="6"/>
  <c r="AH47" i="6" s="1"/>
  <c r="X48" i="6"/>
  <c r="X47" i="6" s="1"/>
  <c r="N48" i="6"/>
  <c r="N47" i="6" s="1"/>
  <c r="AC48" i="6"/>
  <c r="AC47" i="6" s="1"/>
  <c r="S48" i="6"/>
  <c r="S47" i="6" s="1"/>
  <c r="I48" i="6"/>
  <c r="I47" i="6" s="1"/>
  <c r="AB48" i="6"/>
  <c r="AB47" i="6" s="1"/>
  <c r="K48" i="6"/>
  <c r="K47" i="6" s="1"/>
  <c r="AA48" i="6"/>
  <c r="AA47" i="6" s="1"/>
  <c r="J48" i="6"/>
  <c r="J47" i="6" s="1"/>
  <c r="W48" i="6"/>
  <c r="W47" i="6" s="1"/>
  <c r="H48" i="6"/>
  <c r="H47" i="6" s="1"/>
  <c r="V48" i="6"/>
  <c r="V47" i="6" s="1"/>
  <c r="G48" i="6"/>
  <c r="AL48" i="6"/>
  <c r="AL47" i="6" s="1"/>
  <c r="U48" i="6"/>
  <c r="U47" i="6" s="1"/>
  <c r="AK48" i="6"/>
  <c r="AK47" i="6" s="1"/>
  <c r="T48" i="6"/>
  <c r="T47" i="6" s="1"/>
  <c r="AG48" i="6"/>
  <c r="AG47" i="6" s="1"/>
  <c r="R48" i="6"/>
  <c r="R47" i="6" s="1"/>
  <c r="AE48" i="6"/>
  <c r="AE47" i="6" s="1"/>
  <c r="M48" i="6"/>
  <c r="M47" i="6" s="1"/>
  <c r="I21" i="6"/>
  <c r="F63" i="6"/>
  <c r="N11" i="6"/>
  <c r="N10" i="6" s="1"/>
  <c r="K21" i="6"/>
  <c r="H63" i="6"/>
  <c r="E30" i="6"/>
  <c r="D30" i="6" s="1"/>
  <c r="D22" i="6"/>
  <c r="C7" i="7" s="1"/>
  <c r="C6" i="7" s="1"/>
  <c r="E29" i="6"/>
  <c r="L48" i="6"/>
  <c r="L47" i="6" s="1"/>
  <c r="M63" i="6"/>
  <c r="T28" i="6"/>
  <c r="F36" i="6"/>
  <c r="D36" i="6" s="1"/>
  <c r="Q48" i="6"/>
  <c r="Q47" i="6" s="1"/>
  <c r="AI38" i="6"/>
  <c r="AI39" i="6" s="1"/>
  <c r="AI40" i="6" s="1"/>
  <c r="Y38" i="6"/>
  <c r="Y39" i="6" s="1"/>
  <c r="Y40" i="6" s="1"/>
  <c r="O38" i="6"/>
  <c r="O39" i="6" s="1"/>
  <c r="O40" i="6" s="1"/>
  <c r="E38" i="6"/>
  <c r="E52" i="6" s="1"/>
  <c r="AH38" i="6"/>
  <c r="AH39" i="6" s="1"/>
  <c r="AH40" i="6" s="1"/>
  <c r="X38" i="6"/>
  <c r="X39" i="6" s="1"/>
  <c r="X40" i="6" s="1"/>
  <c r="N38" i="6"/>
  <c r="N39" i="6" s="1"/>
  <c r="N40" i="6" s="1"/>
  <c r="AH34" i="6"/>
  <c r="X34" i="6"/>
  <c r="N34" i="6"/>
  <c r="B62" i="6"/>
  <c r="C62" i="6" s="1"/>
  <c r="AG38" i="6"/>
  <c r="AG39" i="6" s="1"/>
  <c r="AG40" i="6" s="1"/>
  <c r="W38" i="6"/>
  <c r="W39" i="6" s="1"/>
  <c r="W40" i="6" s="1"/>
  <c r="M38" i="6"/>
  <c r="M39" i="6" s="1"/>
  <c r="M40" i="6" s="1"/>
  <c r="E59" i="6"/>
  <c r="AL38" i="6"/>
  <c r="AL39" i="6" s="1"/>
  <c r="AL40" i="6" s="1"/>
  <c r="AB38" i="6"/>
  <c r="AB39" i="6" s="1"/>
  <c r="AB40" i="6" s="1"/>
  <c r="R38" i="6"/>
  <c r="R39" i="6" s="1"/>
  <c r="R40" i="6" s="1"/>
  <c r="H38" i="6"/>
  <c r="H39" i="6" s="1"/>
  <c r="H40" i="6" s="1"/>
  <c r="AJ38" i="6"/>
  <c r="AJ39" i="6" s="1"/>
  <c r="AJ40" i="6" s="1"/>
  <c r="S38" i="6"/>
  <c r="S39" i="6" s="1"/>
  <c r="S40" i="6" s="1"/>
  <c r="F35" i="6"/>
  <c r="D35" i="6" s="1"/>
  <c r="AD34" i="6"/>
  <c r="S34" i="6"/>
  <c r="H34" i="6"/>
  <c r="AH21" i="6"/>
  <c r="X21" i="6"/>
  <c r="N21" i="6"/>
  <c r="AC34" i="6"/>
  <c r="AG21" i="6"/>
  <c r="C21" i="6"/>
  <c r="AF38" i="6"/>
  <c r="AF39" i="6" s="1"/>
  <c r="AF40" i="6" s="1"/>
  <c r="Q38" i="6"/>
  <c r="Q39" i="6" s="1"/>
  <c r="Q40" i="6" s="1"/>
  <c r="R34" i="6"/>
  <c r="G34" i="6"/>
  <c r="W21" i="6"/>
  <c r="M21" i="6"/>
  <c r="AE38" i="6"/>
  <c r="AE39" i="6" s="1"/>
  <c r="AE40" i="6" s="1"/>
  <c r="P38" i="6"/>
  <c r="P39" i="6" s="1"/>
  <c r="P40" i="6" s="1"/>
  <c r="AB34" i="6"/>
  <c r="Q34" i="6"/>
  <c r="F34" i="6"/>
  <c r="AD38" i="6"/>
  <c r="AD39" i="6" s="1"/>
  <c r="AD40" i="6" s="1"/>
  <c r="L38" i="6"/>
  <c r="L39" i="6" s="1"/>
  <c r="L40" i="6" s="1"/>
  <c r="AC38" i="6"/>
  <c r="AC39" i="6" s="1"/>
  <c r="AC40" i="6" s="1"/>
  <c r="K38" i="6"/>
  <c r="K39" i="6" s="1"/>
  <c r="K40" i="6" s="1"/>
  <c r="AK34" i="6"/>
  <c r="Z34" i="6"/>
  <c r="O34" i="6"/>
  <c r="AD21" i="6"/>
  <c r="T21" i="6"/>
  <c r="J21" i="6"/>
  <c r="AA38" i="6"/>
  <c r="AA39" i="6" s="1"/>
  <c r="AA40" i="6" s="1"/>
  <c r="J38" i="6"/>
  <c r="J39" i="6" s="1"/>
  <c r="J40" i="6" s="1"/>
  <c r="AJ34" i="6"/>
  <c r="Y34" i="6"/>
  <c r="M34" i="6"/>
  <c r="Q21" i="6"/>
  <c r="AE21" i="6"/>
  <c r="I34" i="6"/>
  <c r="AE34" i="6"/>
  <c r="U38" i="6"/>
  <c r="U39" i="6" s="1"/>
  <c r="U40" i="6" s="1"/>
  <c r="AD48" i="6"/>
  <c r="AD47" i="6" s="1"/>
  <c r="F21" i="6"/>
  <c r="D21" i="6" s="1"/>
  <c r="AF28" i="6"/>
  <c r="V28" i="6"/>
  <c r="AI28" i="6"/>
  <c r="X28" i="6"/>
  <c r="M28" i="6"/>
  <c r="AH28" i="6"/>
  <c r="L28" i="6"/>
  <c r="W28" i="6"/>
  <c r="AG28" i="6"/>
  <c r="K28" i="6"/>
  <c r="U28" i="6"/>
  <c r="AD28" i="6"/>
  <c r="S28" i="6"/>
  <c r="I28" i="6"/>
  <c r="AC28" i="6"/>
  <c r="R28" i="6"/>
  <c r="H28" i="6"/>
  <c r="Z28" i="6"/>
  <c r="J34" i="6"/>
  <c r="AF34" i="6"/>
  <c r="V38" i="6"/>
  <c r="V39" i="6" s="1"/>
  <c r="V40" i="6" s="1"/>
  <c r="AF48" i="6"/>
  <c r="AF47" i="6" s="1"/>
  <c r="D63" i="6"/>
  <c r="L62" i="6"/>
  <c r="L65" i="6" s="1"/>
  <c r="N27" i="6"/>
  <c r="N29" i="6" s="1"/>
  <c r="X27" i="6"/>
  <c r="X29" i="6" s="1"/>
  <c r="AH27" i="6"/>
  <c r="AH29" i="6" s="1"/>
  <c r="Q27" i="6"/>
  <c r="Q29" i="6" s="1"/>
  <c r="AK27" i="6"/>
  <c r="AK29" i="6" s="1"/>
  <c r="H61" i="6"/>
  <c r="H64" i="6" s="1"/>
  <c r="D64" i="6" s="1"/>
  <c r="G27" i="6"/>
  <c r="G29" i="6" s="1"/>
  <c r="AA27" i="6"/>
  <c r="AA29" i="6" s="1"/>
  <c r="H27" i="6"/>
  <c r="H29" i="6" s="1"/>
  <c r="R27" i="6"/>
  <c r="R29" i="6" s="1"/>
  <c r="AB27" i="6"/>
  <c r="E58" i="6"/>
  <c r="AD60" i="5"/>
  <c r="AD61" i="5" s="1"/>
  <c r="AD64" i="5" s="1"/>
  <c r="AC60" i="5"/>
  <c r="AC61" i="5" s="1"/>
  <c r="AC64" i="5" s="1"/>
  <c r="Q51" i="5"/>
  <c r="AK51" i="5"/>
  <c r="AK52" i="5" s="1"/>
  <c r="AE60" i="5"/>
  <c r="AE61" i="5" s="1"/>
  <c r="AE64" i="5" s="1"/>
  <c r="T60" i="5"/>
  <c r="T61" i="5" s="1"/>
  <c r="T64" i="5" s="1"/>
  <c r="U60" i="5"/>
  <c r="U61" i="5" s="1"/>
  <c r="U64" i="5" s="1"/>
  <c r="AA51" i="5"/>
  <c r="X60" i="5"/>
  <c r="X61" i="5" s="1"/>
  <c r="X64" i="5" s="1"/>
  <c r="Z60" i="5"/>
  <c r="Z61" i="5" s="1"/>
  <c r="Z64" i="5" s="1"/>
  <c r="AA66" i="5" s="1"/>
  <c r="AA60" i="5"/>
  <c r="AA61" i="5" s="1"/>
  <c r="AA64" i="5" s="1"/>
  <c r="AB66" i="5" s="1"/>
  <c r="O60" i="5"/>
  <c r="O61" i="5" s="1"/>
  <c r="O64" i="5" s="1"/>
  <c r="P60" i="5"/>
  <c r="P61" i="5" s="1"/>
  <c r="P64" i="5" s="1"/>
  <c r="AJ60" i="5"/>
  <c r="AJ61" i="5" s="1"/>
  <c r="AJ64" i="5" s="1"/>
  <c r="Y60" i="5"/>
  <c r="Y61" i="5" s="1"/>
  <c r="Y64" i="5" s="1"/>
  <c r="Z66" i="5" s="1"/>
  <c r="N60" i="5"/>
  <c r="N61" i="5" s="1"/>
  <c r="N64" i="5" s="1"/>
  <c r="O66" i="5" s="1"/>
  <c r="Q60" i="5"/>
  <c r="Q61" i="5" s="1"/>
  <c r="Q64" i="5" s="1"/>
  <c r="R66" i="5" s="1"/>
  <c r="AK60" i="5"/>
  <c r="AK61" i="5" s="1"/>
  <c r="AK64" i="5" s="1"/>
  <c r="AL66" i="5" s="1"/>
  <c r="S60" i="5"/>
  <c r="S61" i="5" s="1"/>
  <c r="S64" i="5" s="1"/>
  <c r="R60" i="5"/>
  <c r="R61" i="5" s="1"/>
  <c r="R64" i="5" s="1"/>
  <c r="S66" i="5" s="1"/>
  <c r="AB60" i="5"/>
  <c r="AB61" i="5" s="1"/>
  <c r="AB64" i="5" s="1"/>
  <c r="AC66" i="5" s="1"/>
  <c r="AL60" i="5"/>
  <c r="AL61" i="5" s="1"/>
  <c r="AL64" i="5" s="1"/>
  <c r="E59" i="5"/>
  <c r="AL51" i="5"/>
  <c r="AI48" i="5"/>
  <c r="AI47" i="5" s="1"/>
  <c r="Y48" i="5"/>
  <c r="Y47" i="5" s="1"/>
  <c r="O48" i="5"/>
  <c r="O47" i="5" s="1"/>
  <c r="AH48" i="5"/>
  <c r="AH47" i="5" s="1"/>
  <c r="X48" i="5"/>
  <c r="X47" i="5" s="1"/>
  <c r="N48" i="5"/>
  <c r="N47" i="5" s="1"/>
  <c r="AG48" i="5"/>
  <c r="AG47" i="5" s="1"/>
  <c r="W48" i="5"/>
  <c r="W47" i="5" s="1"/>
  <c r="M48" i="5"/>
  <c r="M47" i="5" s="1"/>
  <c r="AF48" i="5"/>
  <c r="AF47" i="5" s="1"/>
  <c r="V48" i="5"/>
  <c r="V47" i="5" s="1"/>
  <c r="L48" i="5"/>
  <c r="L47" i="5" s="1"/>
  <c r="F35" i="5"/>
  <c r="D35" i="5" s="1"/>
  <c r="AC48" i="5"/>
  <c r="AC47" i="5" s="1"/>
  <c r="S48" i="5"/>
  <c r="S47" i="5" s="1"/>
  <c r="I48" i="5"/>
  <c r="I47" i="5" s="1"/>
  <c r="AL48" i="5"/>
  <c r="AL47" i="5" s="1"/>
  <c r="AB48" i="5"/>
  <c r="AB47" i="5" s="1"/>
  <c r="R48" i="5"/>
  <c r="R47" i="5" s="1"/>
  <c r="H48" i="5"/>
  <c r="H47" i="5" s="1"/>
  <c r="AK48" i="5"/>
  <c r="AK47" i="5" s="1"/>
  <c r="AA48" i="5"/>
  <c r="AA47" i="5" s="1"/>
  <c r="Q48" i="5"/>
  <c r="Q47" i="5" s="1"/>
  <c r="G48" i="5"/>
  <c r="G47" i="5" s="1"/>
  <c r="T48" i="5"/>
  <c r="T47" i="5" s="1"/>
  <c r="P48" i="5"/>
  <c r="P47" i="5" s="1"/>
  <c r="K48" i="5"/>
  <c r="K47" i="5" s="1"/>
  <c r="J48" i="5"/>
  <c r="J47" i="5" s="1"/>
  <c r="F36" i="5"/>
  <c r="D36" i="5" s="1"/>
  <c r="AJ48" i="5"/>
  <c r="AJ47" i="5" s="1"/>
  <c r="AE48" i="5"/>
  <c r="AE47" i="5" s="1"/>
  <c r="AD48" i="5"/>
  <c r="AD47" i="5" s="1"/>
  <c r="Z48" i="5"/>
  <c r="Z47" i="5" s="1"/>
  <c r="U48" i="5"/>
  <c r="U47" i="5" s="1"/>
  <c r="E40" i="5"/>
  <c r="O27" i="5"/>
  <c r="O29" i="5" s="1"/>
  <c r="Y27" i="5"/>
  <c r="Y29" i="5" s="1"/>
  <c r="AI27" i="5"/>
  <c r="AI29" i="5" s="1"/>
  <c r="J28" i="5"/>
  <c r="U28" i="5"/>
  <c r="AG28" i="5"/>
  <c r="Y66" i="5"/>
  <c r="AI66" i="5"/>
  <c r="H63" i="5"/>
  <c r="H62" i="5"/>
  <c r="H21" i="5"/>
  <c r="H24" i="5" s="1"/>
  <c r="I51" i="5" s="1"/>
  <c r="R21" i="5"/>
  <c r="R24" i="5" s="1"/>
  <c r="S51" i="5" s="1"/>
  <c r="AB21" i="5"/>
  <c r="AB24" i="5" s="1"/>
  <c r="AC51" i="5" s="1"/>
  <c r="AL21" i="5"/>
  <c r="AL24" i="5" s="1"/>
  <c r="F27" i="5"/>
  <c r="F29" i="5" s="1"/>
  <c r="P27" i="5"/>
  <c r="P29" i="5" s="1"/>
  <c r="Z27" i="5"/>
  <c r="Z29" i="5" s="1"/>
  <c r="AJ27" i="5"/>
  <c r="AJ29" i="5" s="1"/>
  <c r="K28" i="5"/>
  <c r="V28" i="5"/>
  <c r="AH28" i="5"/>
  <c r="H34" i="5"/>
  <c r="P66" i="5"/>
  <c r="AJ66" i="5"/>
  <c r="H11" i="5"/>
  <c r="N11" i="5" s="1"/>
  <c r="I63" i="5"/>
  <c r="I62" i="5"/>
  <c r="I21" i="5"/>
  <c r="I24" i="5" s="1"/>
  <c r="J51" i="5" s="1"/>
  <c r="S21" i="5"/>
  <c r="S24" i="5" s="1"/>
  <c r="T51" i="5" s="1"/>
  <c r="AC21" i="5"/>
  <c r="AC24" i="5" s="1"/>
  <c r="AD51" i="5" s="1"/>
  <c r="D22" i="5"/>
  <c r="B7" i="7" s="1"/>
  <c r="B6" i="7" s="1"/>
  <c r="J63" i="5"/>
  <c r="J62" i="5"/>
  <c r="J21" i="5"/>
  <c r="J24" i="5" s="1"/>
  <c r="K51" i="5" s="1"/>
  <c r="T21" i="5"/>
  <c r="T24" i="5" s="1"/>
  <c r="U51" i="5" s="1"/>
  <c r="AD21" i="5"/>
  <c r="AD24" i="5" s="1"/>
  <c r="AE51" i="5" s="1"/>
  <c r="L63" i="5"/>
  <c r="L34" i="5"/>
  <c r="L62" i="5"/>
  <c r="L21" i="5"/>
  <c r="L24" i="5" s="1"/>
  <c r="M51" i="5" s="1"/>
  <c r="V21" i="5"/>
  <c r="V24" i="5" s="1"/>
  <c r="W51" i="5" s="1"/>
  <c r="AF21" i="5"/>
  <c r="AF24" i="5" s="1"/>
  <c r="AG51" i="5" s="1"/>
  <c r="G27" i="5"/>
  <c r="G29" i="5" s="1"/>
  <c r="Q27" i="5"/>
  <c r="Q29" i="5" s="1"/>
  <c r="AA27" i="5"/>
  <c r="AA29" i="5" s="1"/>
  <c r="AK27" i="5"/>
  <c r="AK29" i="5" s="1"/>
  <c r="L28" i="5"/>
  <c r="W28" i="5"/>
  <c r="AI28" i="5"/>
  <c r="AA30" i="5"/>
  <c r="I34" i="5"/>
  <c r="Q66" i="5"/>
  <c r="AK66" i="5"/>
  <c r="H27" i="5"/>
  <c r="H29" i="5" s="1"/>
  <c r="R27" i="5"/>
  <c r="R29" i="5" s="1"/>
  <c r="AB27" i="5"/>
  <c r="AB29" i="5" s="1"/>
  <c r="AL27" i="5"/>
  <c r="AL29" i="5" s="1"/>
  <c r="M28" i="5"/>
  <c r="X28" i="5"/>
  <c r="AJ28" i="5"/>
  <c r="J34" i="5"/>
  <c r="AC30" i="5"/>
  <c r="I27" i="5"/>
  <c r="I29" i="5" s="1"/>
  <c r="S27" i="5"/>
  <c r="S29" i="5" s="1"/>
  <c r="AC27" i="5"/>
  <c r="AC29" i="5" s="1"/>
  <c r="N28" i="5"/>
  <c r="Y28" i="5"/>
  <c r="E30" i="5"/>
  <c r="Q30" i="5"/>
  <c r="K63" i="5"/>
  <c r="K34" i="5"/>
  <c r="K62" i="5"/>
  <c r="K21" i="5"/>
  <c r="K24" i="5" s="1"/>
  <c r="L51" i="5" s="1"/>
  <c r="U21" i="5"/>
  <c r="U24" i="5" s="1"/>
  <c r="V51" i="5" s="1"/>
  <c r="AE21" i="5"/>
  <c r="AE24" i="5" s="1"/>
  <c r="AF51" i="5" s="1"/>
  <c r="M62" i="5"/>
  <c r="M63" i="5"/>
  <c r="M21" i="5"/>
  <c r="M24" i="5" s="1"/>
  <c r="N51" i="5" s="1"/>
  <c r="W21" i="5"/>
  <c r="W24" i="5" s="1"/>
  <c r="X51" i="5" s="1"/>
  <c r="AG21" i="5"/>
  <c r="AG24" i="5" s="1"/>
  <c r="AH51" i="5" s="1"/>
  <c r="AD28" i="5"/>
  <c r="T28" i="5"/>
  <c r="AC28" i="5"/>
  <c r="N21" i="5"/>
  <c r="N24" i="5" s="1"/>
  <c r="O51" i="5" s="1"/>
  <c r="X21" i="5"/>
  <c r="X24" i="5" s="1"/>
  <c r="Y51" i="5" s="1"/>
  <c r="AH21" i="5"/>
  <c r="AH24" i="5" s="1"/>
  <c r="AI51" i="5" s="1"/>
  <c r="I30" i="5"/>
  <c r="S30" i="5"/>
  <c r="E62" i="5"/>
  <c r="E60" i="5"/>
  <c r="E63" i="5"/>
  <c r="E21" i="5"/>
  <c r="O21" i="5"/>
  <c r="O24" i="5" s="1"/>
  <c r="P51" i="5" s="1"/>
  <c r="P52" i="5" s="1"/>
  <c r="Y21" i="5"/>
  <c r="Y24" i="5" s="1"/>
  <c r="Z51" i="5" s="1"/>
  <c r="Z52" i="5" s="1"/>
  <c r="AI21" i="5"/>
  <c r="AI24" i="5" s="1"/>
  <c r="AJ51" i="5" s="1"/>
  <c r="AJ52" i="5" s="1"/>
  <c r="J30" i="5"/>
  <c r="T30" i="5"/>
  <c r="AD30" i="5"/>
  <c r="J27" i="5"/>
  <c r="J29" i="5" s="1"/>
  <c r="T27" i="5"/>
  <c r="T29" i="5" s="1"/>
  <c r="AD27" i="5"/>
  <c r="AD29" i="5" s="1"/>
  <c r="O28" i="5"/>
  <c r="Z28" i="5"/>
  <c r="AL28" i="5"/>
  <c r="F30" i="5"/>
  <c r="R30" i="5"/>
  <c r="T66" i="5"/>
  <c r="AD66" i="5"/>
  <c r="K27" i="5"/>
  <c r="K29" i="5" s="1"/>
  <c r="U27" i="5"/>
  <c r="U29" i="5" s="1"/>
  <c r="AE27" i="5"/>
  <c r="AE29" i="5" s="1"/>
  <c r="F28" i="5"/>
  <c r="P28" i="5"/>
  <c r="AA28" i="5"/>
  <c r="G30" i="5"/>
  <c r="U66" i="5"/>
  <c r="AE66" i="5"/>
  <c r="G62" i="5"/>
  <c r="G63" i="5"/>
  <c r="G21" i="5"/>
  <c r="G24" i="5" s="1"/>
  <c r="Q21" i="5"/>
  <c r="Q24" i="5" s="1"/>
  <c r="R51" i="5" s="1"/>
  <c r="R52" i="5" s="1"/>
  <c r="AA21" i="5"/>
  <c r="AA24" i="5" s="1"/>
  <c r="AB51" i="5" s="1"/>
  <c r="L27" i="5"/>
  <c r="L29" i="5" s="1"/>
  <c r="V27" i="5"/>
  <c r="V29" i="5" s="1"/>
  <c r="AF27" i="5"/>
  <c r="AF29" i="5" s="1"/>
  <c r="G28" i="5"/>
  <c r="Q28" i="5"/>
  <c r="AB28" i="5"/>
  <c r="H30" i="5"/>
  <c r="V30" i="5"/>
  <c r="V66" i="5"/>
  <c r="AF66" i="5"/>
  <c r="F62" i="5"/>
  <c r="F63" i="5"/>
  <c r="M27" i="5"/>
  <c r="M29" i="5" s="1"/>
  <c r="W27" i="5"/>
  <c r="W29" i="5" s="1"/>
  <c r="AG27" i="5"/>
  <c r="AG29" i="5" s="1"/>
  <c r="H28" i="5"/>
  <c r="R28" i="5"/>
  <c r="AE28" i="5"/>
  <c r="W30" i="5"/>
  <c r="AI30" i="5"/>
  <c r="W66" i="5"/>
  <c r="AG66" i="5"/>
  <c r="N27" i="5"/>
  <c r="N29" i="5" s="1"/>
  <c r="X27" i="5"/>
  <c r="X29" i="5" s="1"/>
  <c r="I28" i="5"/>
  <c r="S28" i="5"/>
  <c r="AF28" i="5"/>
  <c r="L30" i="5"/>
  <c r="X30" i="5"/>
  <c r="AJ30" i="5"/>
  <c r="F34" i="5"/>
  <c r="X66" i="5"/>
  <c r="AH66" i="5"/>
  <c r="K43" i="6" l="1"/>
  <c r="J52" i="5"/>
  <c r="AB52" i="5"/>
  <c r="G31" i="9"/>
  <c r="H31" i="9" s="1"/>
  <c r="I31" i="9" s="1"/>
  <c r="J31" i="9" s="1"/>
  <c r="K31" i="9" s="1"/>
  <c r="L31" i="9" s="1"/>
  <c r="M31" i="9" s="1"/>
  <c r="N31" i="9" s="1"/>
  <c r="D63" i="9"/>
  <c r="D27" i="9"/>
  <c r="F62" i="9"/>
  <c r="F65" i="9" s="1"/>
  <c r="H11" i="9"/>
  <c r="H12" i="9"/>
  <c r="O29" i="9"/>
  <c r="O31" i="9" s="1"/>
  <c r="P31" i="9" s="1"/>
  <c r="Q31" i="9" s="1"/>
  <c r="R31" i="9" s="1"/>
  <c r="S31" i="9" s="1"/>
  <c r="T31" i="9" s="1"/>
  <c r="U31" i="9" s="1"/>
  <c r="V31" i="9" s="1"/>
  <c r="W31" i="9" s="1"/>
  <c r="X31" i="9" s="1"/>
  <c r="Y31" i="9" s="1"/>
  <c r="Z31" i="9" s="1"/>
  <c r="AA31" i="9" s="1"/>
  <c r="AB31" i="9" s="1"/>
  <c r="AC31" i="9" s="1"/>
  <c r="AD31" i="9" s="1"/>
  <c r="AE31" i="9" s="1"/>
  <c r="AF31" i="9" s="1"/>
  <c r="AG31" i="9" s="1"/>
  <c r="AH31" i="9" s="1"/>
  <c r="AI31" i="9" s="1"/>
  <c r="AJ31" i="9" s="1"/>
  <c r="AK31" i="9" s="1"/>
  <c r="AL31" i="9" s="1"/>
  <c r="I62" i="9"/>
  <c r="I65" i="9" s="1"/>
  <c r="L62" i="9"/>
  <c r="L65" i="9" s="1"/>
  <c r="E62" i="9"/>
  <c r="AF24" i="9"/>
  <c r="AG51" i="9" s="1"/>
  <c r="AG52" i="9" s="1"/>
  <c r="V24" i="9"/>
  <c r="W51" i="9" s="1"/>
  <c r="W52" i="9" s="1"/>
  <c r="L24" i="9"/>
  <c r="M51" i="9" s="1"/>
  <c r="M52" i="9" s="1"/>
  <c r="AE24" i="9"/>
  <c r="AF51" i="9" s="1"/>
  <c r="AF52" i="9" s="1"/>
  <c r="U24" i="9"/>
  <c r="V51" i="9" s="1"/>
  <c r="V52" i="9" s="1"/>
  <c r="J24" i="9"/>
  <c r="K51" i="9" s="1"/>
  <c r="K52" i="9" s="1"/>
  <c r="K24" i="9"/>
  <c r="L51" i="9" s="1"/>
  <c r="L52" i="9" s="1"/>
  <c r="AD24" i="9"/>
  <c r="AE51" i="9" s="1"/>
  <c r="AE52" i="9" s="1"/>
  <c r="T24" i="9"/>
  <c r="U51" i="9" s="1"/>
  <c r="U52" i="9" s="1"/>
  <c r="AC24" i="9"/>
  <c r="AD51" i="9" s="1"/>
  <c r="AD52" i="9" s="1"/>
  <c r="S24" i="9"/>
  <c r="T51" i="9" s="1"/>
  <c r="T52" i="9" s="1"/>
  <c r="I24" i="9"/>
  <c r="J51" i="9" s="1"/>
  <c r="J52" i="9" s="1"/>
  <c r="AL24" i="9"/>
  <c r="AB24" i="9"/>
  <c r="AC51" i="9" s="1"/>
  <c r="AC52" i="9" s="1"/>
  <c r="R24" i="9"/>
  <c r="S51" i="9" s="1"/>
  <c r="S52" i="9" s="1"/>
  <c r="H24" i="9"/>
  <c r="AJ24" i="9"/>
  <c r="AK51" i="9" s="1"/>
  <c r="AK52" i="9" s="1"/>
  <c r="AK24" i="9"/>
  <c r="AL51" i="9" s="1"/>
  <c r="AL52" i="9" s="1"/>
  <c r="AA24" i="9"/>
  <c r="AB51" i="9" s="1"/>
  <c r="AB52" i="9" s="1"/>
  <c r="Q24" i="9"/>
  <c r="R51" i="9" s="1"/>
  <c r="R52" i="9" s="1"/>
  <c r="G24" i="9"/>
  <c r="Z24" i="9"/>
  <c r="AA51" i="9" s="1"/>
  <c r="AA52" i="9" s="1"/>
  <c r="P24" i="9"/>
  <c r="Q51" i="9" s="1"/>
  <c r="Q52" i="9" s="1"/>
  <c r="F24" i="9"/>
  <c r="AI24" i="9"/>
  <c r="AJ51" i="9" s="1"/>
  <c r="AJ52" i="9" s="1"/>
  <c r="Y24" i="9"/>
  <c r="Z51" i="9" s="1"/>
  <c r="Z52" i="9" s="1"/>
  <c r="O24" i="9"/>
  <c r="P51" i="9" s="1"/>
  <c r="P52" i="9" s="1"/>
  <c r="E24" i="9"/>
  <c r="E34" i="9" s="1"/>
  <c r="AH24" i="9"/>
  <c r="AI51" i="9" s="1"/>
  <c r="AI52" i="9" s="1"/>
  <c r="AG24" i="9"/>
  <c r="AH51" i="9" s="1"/>
  <c r="AH52" i="9" s="1"/>
  <c r="W24" i="9"/>
  <c r="X51" i="9" s="1"/>
  <c r="X52" i="9" s="1"/>
  <c r="N24" i="9"/>
  <c r="O51" i="9" s="1"/>
  <c r="O52" i="9" s="1"/>
  <c r="M24" i="9"/>
  <c r="N51" i="9" s="1"/>
  <c r="N52" i="9" s="1"/>
  <c r="X24" i="9"/>
  <c r="Y51" i="9" s="1"/>
  <c r="Y52" i="9" s="1"/>
  <c r="E39" i="9"/>
  <c r="AH62" i="9"/>
  <c r="AH65" i="9" s="1"/>
  <c r="X62" i="9"/>
  <c r="X65" i="9" s="1"/>
  <c r="N62" i="9"/>
  <c r="N65" i="9" s="1"/>
  <c r="AG62" i="9"/>
  <c r="AG65" i="9" s="1"/>
  <c r="W62" i="9"/>
  <c r="W65" i="9" s="1"/>
  <c r="AF62" i="9"/>
  <c r="AF65" i="9" s="1"/>
  <c r="V62" i="9"/>
  <c r="V65" i="9" s="1"/>
  <c r="AJ62" i="9"/>
  <c r="AJ65" i="9" s="1"/>
  <c r="Z62" i="9"/>
  <c r="Z65" i="9" s="1"/>
  <c r="P62" i="9"/>
  <c r="P65" i="9" s="1"/>
  <c r="AA62" i="9"/>
  <c r="AA65" i="9" s="1"/>
  <c r="Y62" i="9"/>
  <c r="Y65" i="9" s="1"/>
  <c r="U62" i="9"/>
  <c r="U65" i="9" s="1"/>
  <c r="AL62" i="9"/>
  <c r="AL65" i="9" s="1"/>
  <c r="T62" i="9"/>
  <c r="T65" i="9" s="1"/>
  <c r="AK62" i="9"/>
  <c r="AK65" i="9" s="1"/>
  <c r="S62" i="9"/>
  <c r="S65" i="9" s="1"/>
  <c r="AI62" i="9"/>
  <c r="AI65" i="9" s="1"/>
  <c r="R62" i="9"/>
  <c r="R65" i="9" s="1"/>
  <c r="AC62" i="9"/>
  <c r="AC65" i="9" s="1"/>
  <c r="AE62" i="9"/>
  <c r="AE65" i="9" s="1"/>
  <c r="Q62" i="9"/>
  <c r="Q65" i="9" s="1"/>
  <c r="AD62" i="9"/>
  <c r="AD65" i="9" s="1"/>
  <c r="O62" i="9"/>
  <c r="O65" i="9" s="1"/>
  <c r="J62" i="9"/>
  <c r="J65" i="9" s="1"/>
  <c r="AB62" i="9"/>
  <c r="AB65" i="9" s="1"/>
  <c r="K62" i="9"/>
  <c r="K65" i="9" s="1"/>
  <c r="G62" i="9"/>
  <c r="G65" i="9" s="1"/>
  <c r="E59" i="9"/>
  <c r="D28" i="9"/>
  <c r="M62" i="9"/>
  <c r="M65" i="9" s="1"/>
  <c r="E52" i="9"/>
  <c r="D21" i="9"/>
  <c r="B7" i="10" s="1"/>
  <c r="L51" i="8"/>
  <c r="AJ51" i="8"/>
  <c r="AJ52" i="8" s="1"/>
  <c r="D28" i="8"/>
  <c r="K51" i="8"/>
  <c r="S51" i="8"/>
  <c r="S52" i="8" s="1"/>
  <c r="O52" i="8"/>
  <c r="AB52" i="8"/>
  <c r="P51" i="8"/>
  <c r="P52" i="8" s="1"/>
  <c r="P43" i="8"/>
  <c r="L52" i="8"/>
  <c r="U51" i="8"/>
  <c r="U52" i="8" s="1"/>
  <c r="D21" i="8"/>
  <c r="C7" i="10" s="1"/>
  <c r="AC52" i="8"/>
  <c r="I51" i="8"/>
  <c r="I52" i="8" s="1"/>
  <c r="H43" i="8"/>
  <c r="D30" i="8"/>
  <c r="X43" i="8"/>
  <c r="AD51" i="8"/>
  <c r="AD52" i="8" s="1"/>
  <c r="AF43" i="8"/>
  <c r="I43" i="8"/>
  <c r="AL52" i="8"/>
  <c r="L43" i="8"/>
  <c r="E52" i="8"/>
  <c r="O43" i="8"/>
  <c r="AH43" i="8"/>
  <c r="Z43" i="8"/>
  <c r="R43" i="8"/>
  <c r="AD43" i="8"/>
  <c r="K43" i="8"/>
  <c r="Q43" i="8"/>
  <c r="X29" i="8"/>
  <c r="E59" i="8"/>
  <c r="AK51" i="8"/>
  <c r="AK52" i="8" s="1"/>
  <c r="AC43" i="8"/>
  <c r="AG51" i="8"/>
  <c r="AG52" i="8" s="1"/>
  <c r="AB43" i="8"/>
  <c r="AE51" i="8"/>
  <c r="AE52" i="8" s="1"/>
  <c r="G43" i="8"/>
  <c r="H44" i="8" s="1"/>
  <c r="D34" i="8"/>
  <c r="AJ43" i="8"/>
  <c r="AH51" i="8"/>
  <c r="AH52" i="8" s="1"/>
  <c r="W51" i="8"/>
  <c r="W52" i="8" s="1"/>
  <c r="D48" i="8"/>
  <c r="AL43" i="8"/>
  <c r="Q51" i="8"/>
  <c r="Q52" i="8" s="1"/>
  <c r="AA51" i="8"/>
  <c r="AA52" i="8" s="1"/>
  <c r="T51" i="8"/>
  <c r="T52" i="8" s="1"/>
  <c r="D47" i="8"/>
  <c r="C17" i="10" s="1"/>
  <c r="AH46" i="8"/>
  <c r="AH45" i="8" s="1"/>
  <c r="AH59" i="8" s="1"/>
  <c r="AH68" i="8" s="1"/>
  <c r="X46" i="8"/>
  <c r="X45" i="8" s="1"/>
  <c r="X59" i="8" s="1"/>
  <c r="N46" i="8"/>
  <c r="N45" i="8" s="1"/>
  <c r="N59" i="8" s="1"/>
  <c r="AG46" i="8"/>
  <c r="AG45" i="8" s="1"/>
  <c r="AG59" i="8" s="1"/>
  <c r="W46" i="8"/>
  <c r="W45" i="8" s="1"/>
  <c r="W59" i="8" s="1"/>
  <c r="M46" i="8"/>
  <c r="M45" i="8" s="1"/>
  <c r="M59" i="8" s="1"/>
  <c r="AF46" i="8"/>
  <c r="AF45" i="8" s="1"/>
  <c r="AF59" i="8" s="1"/>
  <c r="V46" i="8"/>
  <c r="V45" i="8" s="1"/>
  <c r="V59" i="8" s="1"/>
  <c r="L46" i="8"/>
  <c r="L45" i="8" s="1"/>
  <c r="L59" i="8" s="1"/>
  <c r="L68" i="8" s="1"/>
  <c r="F37" i="8"/>
  <c r="D37" i="8" s="1"/>
  <c r="AE46" i="8"/>
  <c r="AE45" i="8" s="1"/>
  <c r="AE59" i="8" s="1"/>
  <c r="AE68" i="8" s="1"/>
  <c r="U46" i="8"/>
  <c r="U45" i="8" s="1"/>
  <c r="U59" i="8" s="1"/>
  <c r="K46" i="8"/>
  <c r="K45" i="8" s="1"/>
  <c r="K59" i="8" s="1"/>
  <c r="K68" i="8" s="1"/>
  <c r="AD46" i="8"/>
  <c r="AD45" i="8" s="1"/>
  <c r="AD59" i="8" s="1"/>
  <c r="T46" i="8"/>
  <c r="T45" i="8" s="1"/>
  <c r="T59" i="8" s="1"/>
  <c r="J46" i="8"/>
  <c r="J45" i="8" s="1"/>
  <c r="J59" i="8" s="1"/>
  <c r="J68" i="8" s="1"/>
  <c r="AC46" i="8"/>
  <c r="AC45" i="8" s="1"/>
  <c r="AC59" i="8" s="1"/>
  <c r="S46" i="8"/>
  <c r="S45" i="8" s="1"/>
  <c r="S59" i="8" s="1"/>
  <c r="I46" i="8"/>
  <c r="I45" i="8" s="1"/>
  <c r="I59" i="8" s="1"/>
  <c r="AK46" i="8"/>
  <c r="AK45" i="8" s="1"/>
  <c r="AK59" i="8" s="1"/>
  <c r="AA46" i="8"/>
  <c r="AA45" i="8" s="1"/>
  <c r="AA59" i="8" s="1"/>
  <c r="Q46" i="8"/>
  <c r="Q45" i="8" s="1"/>
  <c r="Q59" i="8" s="1"/>
  <c r="G46" i="8"/>
  <c r="Z46" i="8"/>
  <c r="Z45" i="8" s="1"/>
  <c r="Z59" i="8" s="1"/>
  <c r="AL46" i="8"/>
  <c r="AL45" i="8" s="1"/>
  <c r="AL59" i="8" s="1"/>
  <c r="Y46" i="8"/>
  <c r="Y45" i="8" s="1"/>
  <c r="Y59" i="8" s="1"/>
  <c r="R46" i="8"/>
  <c r="R45" i="8" s="1"/>
  <c r="R59" i="8" s="1"/>
  <c r="P46" i="8"/>
  <c r="P45" i="8" s="1"/>
  <c r="P59" i="8" s="1"/>
  <c r="O46" i="8"/>
  <c r="O45" i="8" s="1"/>
  <c r="O59" i="8" s="1"/>
  <c r="H46" i="8"/>
  <c r="H45" i="8" s="1"/>
  <c r="H59" i="8" s="1"/>
  <c r="H68" i="8" s="1"/>
  <c r="AJ46" i="8"/>
  <c r="AJ45" i="8" s="1"/>
  <c r="AJ59" i="8" s="1"/>
  <c r="AJ68" i="8" s="1"/>
  <c r="AI46" i="8"/>
  <c r="AI45" i="8" s="1"/>
  <c r="AI59" i="8" s="1"/>
  <c r="AB46" i="8"/>
  <c r="AB45" i="8" s="1"/>
  <c r="AB59" i="8" s="1"/>
  <c r="S43" i="8"/>
  <c r="J43" i="8"/>
  <c r="T43" i="8"/>
  <c r="AE43" i="8"/>
  <c r="K52" i="8"/>
  <c r="Y43" i="8"/>
  <c r="M51" i="8"/>
  <c r="M52" i="8" s="1"/>
  <c r="D27" i="8"/>
  <c r="C10" i="10" s="1"/>
  <c r="C9" i="10" s="1"/>
  <c r="F29" i="8"/>
  <c r="M43" i="8"/>
  <c r="AF62" i="8"/>
  <c r="AF65" i="8" s="1"/>
  <c r="V62" i="8"/>
  <c r="V65" i="8" s="1"/>
  <c r="AE62" i="8"/>
  <c r="AE65" i="8" s="1"/>
  <c r="U62" i="8"/>
  <c r="U65" i="8" s="1"/>
  <c r="AD62" i="8"/>
  <c r="AD65" i="8" s="1"/>
  <c r="T62" i="8"/>
  <c r="T65" i="8" s="1"/>
  <c r="AC62" i="8"/>
  <c r="AC65" i="8" s="1"/>
  <c r="S62" i="8"/>
  <c r="S65" i="8" s="1"/>
  <c r="AL62" i="8"/>
  <c r="AL65" i="8" s="1"/>
  <c r="AB62" i="8"/>
  <c r="AB65" i="8" s="1"/>
  <c r="R62" i="8"/>
  <c r="R65" i="8" s="1"/>
  <c r="AK62" i="8"/>
  <c r="AK65" i="8" s="1"/>
  <c r="AA62" i="8"/>
  <c r="AA65" i="8" s="1"/>
  <c r="Q62" i="8"/>
  <c r="Q65" i="8" s="1"/>
  <c r="AI62" i="8"/>
  <c r="AI65" i="8" s="1"/>
  <c r="Y62" i="8"/>
  <c r="Y65" i="8" s="1"/>
  <c r="O62" i="8"/>
  <c r="O65" i="8" s="1"/>
  <c r="AG62" i="8"/>
  <c r="AG65" i="8" s="1"/>
  <c r="Z62" i="8"/>
  <c r="Z65" i="8" s="1"/>
  <c r="X62" i="8"/>
  <c r="X65" i="8" s="1"/>
  <c r="W62" i="8"/>
  <c r="W65" i="8" s="1"/>
  <c r="P62" i="8"/>
  <c r="P65" i="8" s="1"/>
  <c r="N62" i="8"/>
  <c r="N65" i="8" s="1"/>
  <c r="M62" i="8"/>
  <c r="M65" i="8" s="1"/>
  <c r="AJ62" i="8"/>
  <c r="AJ65" i="8" s="1"/>
  <c r="AH62" i="8"/>
  <c r="AH65" i="8" s="1"/>
  <c r="G51" i="8"/>
  <c r="G52" i="8" s="1"/>
  <c r="J51" i="8"/>
  <c r="J52" i="8" s="1"/>
  <c r="D61" i="8"/>
  <c r="E64" i="8"/>
  <c r="D64" i="8" s="1"/>
  <c r="AK43" i="8"/>
  <c r="D39" i="8"/>
  <c r="D38" i="8"/>
  <c r="W43" i="8"/>
  <c r="I62" i="8"/>
  <c r="I65" i="8" s="1"/>
  <c r="N43" i="8"/>
  <c r="F51" i="8"/>
  <c r="D24" i="8"/>
  <c r="AA43" i="8"/>
  <c r="AI43" i="8"/>
  <c r="X51" i="8"/>
  <c r="X52" i="8" s="1"/>
  <c r="N51" i="8"/>
  <c r="N52" i="8" s="1"/>
  <c r="AF51" i="8"/>
  <c r="AF52" i="8" s="1"/>
  <c r="Z52" i="8"/>
  <c r="AI52" i="8"/>
  <c r="D40" i="8"/>
  <c r="F63" i="8"/>
  <c r="D63" i="8" s="1"/>
  <c r="F62" i="8"/>
  <c r="F65" i="8" s="1"/>
  <c r="V43" i="8"/>
  <c r="E62" i="8"/>
  <c r="U43" i="8"/>
  <c r="V51" i="8"/>
  <c r="V52" i="8" s="1"/>
  <c r="AG43" i="8"/>
  <c r="H52" i="8"/>
  <c r="R52" i="8"/>
  <c r="M43" i="6"/>
  <c r="N43" i="6"/>
  <c r="G31" i="6"/>
  <c r="H31" i="6" s="1"/>
  <c r="I31" i="6" s="1"/>
  <c r="J31" i="6" s="1"/>
  <c r="K31" i="6" s="1"/>
  <c r="L31" i="6" s="1"/>
  <c r="M31" i="6" s="1"/>
  <c r="N31" i="6" s="1"/>
  <c r="O31" i="6" s="1"/>
  <c r="P31" i="6" s="1"/>
  <c r="Q31" i="6" s="1"/>
  <c r="R31" i="6" s="1"/>
  <c r="S31" i="6" s="1"/>
  <c r="T31" i="6" s="1"/>
  <c r="U31" i="6" s="1"/>
  <c r="V31" i="6" s="1"/>
  <c r="W31" i="6" s="1"/>
  <c r="X31" i="6" s="1"/>
  <c r="Y31" i="6" s="1"/>
  <c r="Z31" i="6" s="1"/>
  <c r="AA31" i="6" s="1"/>
  <c r="D61" i="6"/>
  <c r="W43" i="6"/>
  <c r="AD43" i="6"/>
  <c r="D28" i="6"/>
  <c r="V43" i="6"/>
  <c r="AI59" i="6"/>
  <c r="AI68" i="6" s="1"/>
  <c r="E68" i="6"/>
  <c r="AH62" i="6"/>
  <c r="AH65" i="6" s="1"/>
  <c r="X62" i="6"/>
  <c r="X65" i="6" s="1"/>
  <c r="N62" i="6"/>
  <c r="N65" i="6" s="1"/>
  <c r="AG62" i="6"/>
  <c r="AG65" i="6" s="1"/>
  <c r="W62" i="6"/>
  <c r="W65" i="6" s="1"/>
  <c r="AF62" i="6"/>
  <c r="AF65" i="6" s="1"/>
  <c r="V62" i="6"/>
  <c r="V65" i="6" s="1"/>
  <c r="AK62" i="6"/>
  <c r="AK65" i="6" s="1"/>
  <c r="AA62" i="6"/>
  <c r="AA65" i="6" s="1"/>
  <c r="Q62" i="6"/>
  <c r="Q65" i="6" s="1"/>
  <c r="Y62" i="6"/>
  <c r="Y65" i="6" s="1"/>
  <c r="U62" i="6"/>
  <c r="U65" i="6" s="1"/>
  <c r="AL62" i="6"/>
  <c r="AL65" i="6" s="1"/>
  <c r="T62" i="6"/>
  <c r="T65" i="6" s="1"/>
  <c r="AJ62" i="6"/>
  <c r="AJ65" i="6" s="1"/>
  <c r="S62" i="6"/>
  <c r="S65" i="6" s="1"/>
  <c r="AI62" i="6"/>
  <c r="AI65" i="6" s="1"/>
  <c r="R62" i="6"/>
  <c r="R65" i="6" s="1"/>
  <c r="AE62" i="6"/>
  <c r="AE65" i="6" s="1"/>
  <c r="P62" i="6"/>
  <c r="P65" i="6" s="1"/>
  <c r="AD62" i="6"/>
  <c r="AD65" i="6" s="1"/>
  <c r="O62" i="6"/>
  <c r="O65" i="6" s="1"/>
  <c r="AB62" i="6"/>
  <c r="AB65" i="6" s="1"/>
  <c r="AC62" i="6"/>
  <c r="AC65" i="6" s="1"/>
  <c r="Z62" i="6"/>
  <c r="Z65" i="6" s="1"/>
  <c r="D38" i="6"/>
  <c r="E39" i="6"/>
  <c r="D34" i="6"/>
  <c r="K62" i="6"/>
  <c r="K65" i="6" s="1"/>
  <c r="I62" i="6"/>
  <c r="I65" i="6" s="1"/>
  <c r="AL43" i="6"/>
  <c r="U43" i="6"/>
  <c r="X43" i="6"/>
  <c r="G62" i="6"/>
  <c r="G65" i="6" s="1"/>
  <c r="AC43" i="6"/>
  <c r="AH43" i="6"/>
  <c r="J62" i="6"/>
  <c r="J65" i="6" s="1"/>
  <c r="O43" i="6"/>
  <c r="G43" i="6"/>
  <c r="M62" i="6"/>
  <c r="M65" i="6" s="1"/>
  <c r="D27" i="6"/>
  <c r="AJ46" i="6"/>
  <c r="AJ45" i="6" s="1"/>
  <c r="AJ59" i="6" s="1"/>
  <c r="Z46" i="6"/>
  <c r="Z45" i="6" s="1"/>
  <c r="Z59" i="6" s="1"/>
  <c r="P46" i="6"/>
  <c r="P45" i="6" s="1"/>
  <c r="P59" i="6" s="1"/>
  <c r="P68" i="6" s="1"/>
  <c r="AI46" i="6"/>
  <c r="AI45" i="6" s="1"/>
  <c r="Y46" i="6"/>
  <c r="Y45" i="6" s="1"/>
  <c r="Y59" i="6" s="1"/>
  <c r="Y68" i="6" s="1"/>
  <c r="O46" i="6"/>
  <c r="O45" i="6" s="1"/>
  <c r="O59" i="6" s="1"/>
  <c r="O68" i="6" s="1"/>
  <c r="AH46" i="6"/>
  <c r="AH45" i="6" s="1"/>
  <c r="AH59" i="6" s="1"/>
  <c r="AH68" i="6" s="1"/>
  <c r="X46" i="6"/>
  <c r="X45" i="6" s="1"/>
  <c r="X59" i="6" s="1"/>
  <c r="X68" i="6" s="1"/>
  <c r="N46" i="6"/>
  <c r="N45" i="6" s="1"/>
  <c r="N59" i="6" s="1"/>
  <c r="N68" i="6" s="1"/>
  <c r="AC46" i="6"/>
  <c r="AC45" i="6" s="1"/>
  <c r="AC59" i="6" s="1"/>
  <c r="AC68" i="6" s="1"/>
  <c r="S46" i="6"/>
  <c r="S45" i="6" s="1"/>
  <c r="S59" i="6" s="1"/>
  <c r="S68" i="6" s="1"/>
  <c r="I46" i="6"/>
  <c r="I45" i="6" s="1"/>
  <c r="I59" i="6" s="1"/>
  <c r="AG46" i="6"/>
  <c r="AG45" i="6" s="1"/>
  <c r="AG59" i="6" s="1"/>
  <c r="R46" i="6"/>
  <c r="R45" i="6" s="1"/>
  <c r="R59" i="6" s="1"/>
  <c r="AF46" i="6"/>
  <c r="AF45" i="6" s="1"/>
  <c r="AF59" i="6" s="1"/>
  <c r="AF68" i="6" s="1"/>
  <c r="Q46" i="6"/>
  <c r="Q45" i="6" s="1"/>
  <c r="Q59" i="6" s="1"/>
  <c r="Q68" i="6" s="1"/>
  <c r="F37" i="6"/>
  <c r="D37" i="6" s="1"/>
  <c r="AE46" i="6"/>
  <c r="AE45" i="6" s="1"/>
  <c r="AE59" i="6" s="1"/>
  <c r="AE68" i="6" s="1"/>
  <c r="M46" i="6"/>
  <c r="M45" i="6" s="1"/>
  <c r="M59" i="6" s="1"/>
  <c r="M68" i="6" s="1"/>
  <c r="AD46" i="6"/>
  <c r="AD45" i="6" s="1"/>
  <c r="AD59" i="6" s="1"/>
  <c r="AD68" i="6" s="1"/>
  <c r="L46" i="6"/>
  <c r="L45" i="6" s="1"/>
  <c r="L59" i="6" s="1"/>
  <c r="L68" i="6" s="1"/>
  <c r="AB46" i="6"/>
  <c r="AB45" i="6" s="1"/>
  <c r="AB59" i="6" s="1"/>
  <c r="AB68" i="6" s="1"/>
  <c r="K46" i="6"/>
  <c r="K45" i="6" s="1"/>
  <c r="K59" i="6" s="1"/>
  <c r="AA46" i="6"/>
  <c r="AA45" i="6" s="1"/>
  <c r="AA59" i="6" s="1"/>
  <c r="J46" i="6"/>
  <c r="J45" i="6" s="1"/>
  <c r="J59" i="6" s="1"/>
  <c r="W46" i="6"/>
  <c r="W45" i="6" s="1"/>
  <c r="W59" i="6" s="1"/>
  <c r="W68" i="6" s="1"/>
  <c r="AL46" i="6"/>
  <c r="AL45" i="6" s="1"/>
  <c r="AL59" i="6" s="1"/>
  <c r="AL68" i="6" s="1"/>
  <c r="U46" i="6"/>
  <c r="U45" i="6" s="1"/>
  <c r="U59" i="6" s="1"/>
  <c r="U68" i="6" s="1"/>
  <c r="AK46" i="6"/>
  <c r="AK45" i="6" s="1"/>
  <c r="AK59" i="6" s="1"/>
  <c r="V46" i="6"/>
  <c r="V45" i="6" s="1"/>
  <c r="V59" i="6" s="1"/>
  <c r="V68" i="6" s="1"/>
  <c r="T46" i="6"/>
  <c r="T45" i="6" s="1"/>
  <c r="T59" i="6" s="1"/>
  <c r="T68" i="6" s="1"/>
  <c r="H46" i="6"/>
  <c r="H45" i="6" s="1"/>
  <c r="H59" i="6" s="1"/>
  <c r="G46" i="6"/>
  <c r="AB29" i="6"/>
  <c r="Y43" i="6"/>
  <c r="Z43" i="6"/>
  <c r="F43" i="6"/>
  <c r="P43" i="6"/>
  <c r="R43" i="6"/>
  <c r="AG24" i="6"/>
  <c r="AH51" i="6" s="1"/>
  <c r="AH52" i="6" s="1"/>
  <c r="W24" i="6"/>
  <c r="X51" i="6" s="1"/>
  <c r="X52" i="6" s="1"/>
  <c r="M24" i="6"/>
  <c r="N51" i="6" s="1"/>
  <c r="N52" i="6" s="1"/>
  <c r="V24" i="6"/>
  <c r="W51" i="6" s="1"/>
  <c r="W52" i="6" s="1"/>
  <c r="AF24" i="6"/>
  <c r="AG51" i="6" s="1"/>
  <c r="AG52" i="6" s="1"/>
  <c r="L24" i="6"/>
  <c r="M51" i="6" s="1"/>
  <c r="M52" i="6" s="1"/>
  <c r="AC24" i="6"/>
  <c r="AD51" i="6" s="1"/>
  <c r="AD52" i="6" s="1"/>
  <c r="S24" i="6"/>
  <c r="T51" i="6" s="1"/>
  <c r="T52" i="6" s="1"/>
  <c r="I24" i="6"/>
  <c r="J51" i="6" s="1"/>
  <c r="J52" i="6" s="1"/>
  <c r="AE24" i="6"/>
  <c r="AF51" i="6" s="1"/>
  <c r="AF52" i="6" s="1"/>
  <c r="Q24" i="6"/>
  <c r="R51" i="6" s="1"/>
  <c r="R52" i="6" s="1"/>
  <c r="AA24" i="6"/>
  <c r="AB51" i="6" s="1"/>
  <c r="AB52" i="6" s="1"/>
  <c r="F24" i="6"/>
  <c r="G51" i="6" s="1"/>
  <c r="G52" i="6" s="1"/>
  <c r="R24" i="6"/>
  <c r="S51" i="6" s="1"/>
  <c r="S52" i="6" s="1"/>
  <c r="AD24" i="6"/>
  <c r="AE51" i="6" s="1"/>
  <c r="AE52" i="6" s="1"/>
  <c r="P24" i="6"/>
  <c r="Q51" i="6" s="1"/>
  <c r="Q52" i="6" s="1"/>
  <c r="O24" i="6"/>
  <c r="P51" i="6" s="1"/>
  <c r="P52" i="6" s="1"/>
  <c r="AH24" i="6"/>
  <c r="AI51" i="6" s="1"/>
  <c r="AI52" i="6" s="1"/>
  <c r="AB24" i="6"/>
  <c r="AC51" i="6" s="1"/>
  <c r="AC52" i="6" s="1"/>
  <c r="T24" i="6"/>
  <c r="U51" i="6" s="1"/>
  <c r="U52" i="6" s="1"/>
  <c r="N24" i="6"/>
  <c r="O51" i="6" s="1"/>
  <c r="O52" i="6" s="1"/>
  <c r="Z24" i="6"/>
  <c r="AA51" i="6" s="1"/>
  <c r="AA52" i="6" s="1"/>
  <c r="K24" i="6"/>
  <c r="L51" i="6" s="1"/>
  <c r="L52" i="6" s="1"/>
  <c r="AL24" i="6"/>
  <c r="Y24" i="6"/>
  <c r="Z51" i="6" s="1"/>
  <c r="Z52" i="6" s="1"/>
  <c r="J24" i="6"/>
  <c r="K51" i="6" s="1"/>
  <c r="K52" i="6" s="1"/>
  <c r="AK24" i="6"/>
  <c r="AL51" i="6" s="1"/>
  <c r="AL52" i="6" s="1"/>
  <c r="X24" i="6"/>
  <c r="Y51" i="6" s="1"/>
  <c r="Y52" i="6" s="1"/>
  <c r="H24" i="6"/>
  <c r="I51" i="6" s="1"/>
  <c r="I52" i="6" s="1"/>
  <c r="AI24" i="6"/>
  <c r="AJ51" i="6" s="1"/>
  <c r="AJ52" i="6" s="1"/>
  <c r="AJ24" i="6"/>
  <c r="AK51" i="6" s="1"/>
  <c r="AK52" i="6" s="1"/>
  <c r="U24" i="6"/>
  <c r="V51" i="6" s="1"/>
  <c r="V52" i="6" s="1"/>
  <c r="G24" i="6"/>
  <c r="H51" i="6" s="1"/>
  <c r="H52" i="6" s="1"/>
  <c r="E24" i="6"/>
  <c r="Q43" i="6"/>
  <c r="F62" i="6"/>
  <c r="F65" i="6" s="1"/>
  <c r="AF43" i="6"/>
  <c r="AE43" i="6"/>
  <c r="AK43" i="6"/>
  <c r="AA43" i="6"/>
  <c r="AJ43" i="6"/>
  <c r="J43" i="6"/>
  <c r="I43" i="6"/>
  <c r="AB43" i="6"/>
  <c r="H43" i="6"/>
  <c r="H62" i="6"/>
  <c r="H65" i="6" s="1"/>
  <c r="AG43" i="6"/>
  <c r="E62" i="6"/>
  <c r="L43" i="6"/>
  <c r="S43" i="6"/>
  <c r="T43" i="6"/>
  <c r="D48" i="6"/>
  <c r="G47" i="6"/>
  <c r="D47" i="6" s="1"/>
  <c r="AI43" i="6"/>
  <c r="AL52" i="5"/>
  <c r="AH52" i="5"/>
  <c r="G34" i="5"/>
  <c r="L52" i="5"/>
  <c r="AE52" i="5"/>
  <c r="U52" i="5"/>
  <c r="X52" i="5"/>
  <c r="E68" i="5"/>
  <c r="D47" i="5"/>
  <c r="F31" i="5"/>
  <c r="G31" i="5" s="1"/>
  <c r="H31" i="5" s="1"/>
  <c r="I31" i="5" s="1"/>
  <c r="J31" i="5" s="1"/>
  <c r="K31" i="5" s="1"/>
  <c r="L31" i="5" s="1"/>
  <c r="M31" i="5" s="1"/>
  <c r="N31" i="5" s="1"/>
  <c r="O31" i="5" s="1"/>
  <c r="P31" i="5" s="1"/>
  <c r="Q31" i="5" s="1"/>
  <c r="R31" i="5" s="1"/>
  <c r="S31" i="5" s="1"/>
  <c r="T31" i="5" s="1"/>
  <c r="U31" i="5" s="1"/>
  <c r="V31" i="5" s="1"/>
  <c r="W31" i="5" s="1"/>
  <c r="X31" i="5" s="1"/>
  <c r="Y31" i="5" s="1"/>
  <c r="Z31" i="5" s="1"/>
  <c r="AA31" i="5" s="1"/>
  <c r="AB31" i="5" s="1"/>
  <c r="AC31" i="5" s="1"/>
  <c r="AD31" i="5" s="1"/>
  <c r="AE31" i="5" s="1"/>
  <c r="AF31" i="5" s="1"/>
  <c r="AG31" i="5" s="1"/>
  <c r="AH31" i="5" s="1"/>
  <c r="AI31" i="5" s="1"/>
  <c r="AJ31" i="5" s="1"/>
  <c r="AK31" i="5" s="1"/>
  <c r="AL31" i="5" s="1"/>
  <c r="O52" i="5"/>
  <c r="V52" i="5"/>
  <c r="K65" i="5"/>
  <c r="K60" i="5"/>
  <c r="K61" i="5" s="1"/>
  <c r="K64" i="5" s="1"/>
  <c r="AI52" i="5"/>
  <c r="W52" i="5"/>
  <c r="K52" i="5"/>
  <c r="D48" i="5"/>
  <c r="D29" i="5"/>
  <c r="AG52" i="5"/>
  <c r="Y52" i="5"/>
  <c r="N52" i="5"/>
  <c r="M52" i="5"/>
  <c r="J65" i="5"/>
  <c r="J60" i="5"/>
  <c r="J61" i="5" s="1"/>
  <c r="J64" i="5" s="1"/>
  <c r="AC52" i="5"/>
  <c r="D28" i="5"/>
  <c r="E24" i="5"/>
  <c r="D21" i="5"/>
  <c r="D30" i="5"/>
  <c r="L65" i="5"/>
  <c r="L60" i="5"/>
  <c r="L61" i="5" s="1"/>
  <c r="L64" i="5" s="1"/>
  <c r="S52" i="5"/>
  <c r="I65" i="5"/>
  <c r="I60" i="5"/>
  <c r="I61" i="5" s="1"/>
  <c r="I64" i="5" s="1"/>
  <c r="D63" i="5"/>
  <c r="M60" i="5"/>
  <c r="M61" i="5" s="1"/>
  <c r="M64" i="5" s="1"/>
  <c r="M65" i="5"/>
  <c r="I52" i="5"/>
  <c r="Q52" i="5"/>
  <c r="H65" i="5"/>
  <c r="H60" i="5"/>
  <c r="H61" i="5" s="1"/>
  <c r="H64" i="5" s="1"/>
  <c r="D27" i="5"/>
  <c r="D62" i="5"/>
  <c r="E65" i="5"/>
  <c r="AF52" i="5"/>
  <c r="F60" i="5"/>
  <c r="F61" i="5" s="1"/>
  <c r="F64" i="5" s="1"/>
  <c r="F65" i="5"/>
  <c r="G60" i="5"/>
  <c r="G61" i="5" s="1"/>
  <c r="G64" i="5" s="1"/>
  <c r="G65" i="5"/>
  <c r="AD52" i="5"/>
  <c r="AA52" i="5"/>
  <c r="E61" i="5"/>
  <c r="T52" i="5"/>
  <c r="C15" i="10" l="1"/>
  <c r="C15" i="7"/>
  <c r="AB31" i="6"/>
  <c r="AC31" i="6" s="1"/>
  <c r="AD31" i="6" s="1"/>
  <c r="AE31" i="6" s="1"/>
  <c r="AF31" i="6" s="1"/>
  <c r="AG31" i="6" s="1"/>
  <c r="AH31" i="6" s="1"/>
  <c r="AI31" i="6" s="1"/>
  <c r="AJ31" i="6" s="1"/>
  <c r="AK31" i="6" s="1"/>
  <c r="AL31" i="6" s="1"/>
  <c r="H35" i="9"/>
  <c r="H36" i="9"/>
  <c r="H53" i="8"/>
  <c r="AL68" i="8"/>
  <c r="AG68" i="8"/>
  <c r="D29" i="9"/>
  <c r="B10" i="10"/>
  <c r="H51" i="9"/>
  <c r="G34" i="9"/>
  <c r="H34" i="9"/>
  <c r="E43" i="9"/>
  <c r="F34" i="9"/>
  <c r="E40" i="9"/>
  <c r="F51" i="9" s="1"/>
  <c r="D24" i="9"/>
  <c r="E68" i="9"/>
  <c r="D62" i="9"/>
  <c r="B8" i="10" s="1"/>
  <c r="B6" i="10" s="1"/>
  <c r="E65" i="9"/>
  <c r="AJ48" i="9"/>
  <c r="AJ47" i="9" s="1"/>
  <c r="Z48" i="9"/>
  <c r="Z47" i="9" s="1"/>
  <c r="P48" i="9"/>
  <c r="P47" i="9" s="1"/>
  <c r="AI48" i="9"/>
  <c r="AI47" i="9" s="1"/>
  <c r="Y48" i="9"/>
  <c r="Y47" i="9" s="1"/>
  <c r="O48" i="9"/>
  <c r="O47" i="9" s="1"/>
  <c r="AH48" i="9"/>
  <c r="AH47" i="9" s="1"/>
  <c r="X48" i="9"/>
  <c r="X47" i="9" s="1"/>
  <c r="N48" i="9"/>
  <c r="N47" i="9" s="1"/>
  <c r="AL48" i="9"/>
  <c r="AL47" i="9" s="1"/>
  <c r="AB48" i="9"/>
  <c r="AB47" i="9" s="1"/>
  <c r="R48" i="9"/>
  <c r="R47" i="9" s="1"/>
  <c r="H48" i="9"/>
  <c r="H47" i="9" s="1"/>
  <c r="AC48" i="9"/>
  <c r="AC47" i="9" s="1"/>
  <c r="K48" i="9"/>
  <c r="K47" i="9" s="1"/>
  <c r="AA48" i="9"/>
  <c r="AA47" i="9" s="1"/>
  <c r="J48" i="9"/>
  <c r="J47" i="9" s="1"/>
  <c r="W48" i="9"/>
  <c r="W47" i="9" s="1"/>
  <c r="I48" i="9"/>
  <c r="I47" i="9" s="1"/>
  <c r="V48" i="9"/>
  <c r="V47" i="9" s="1"/>
  <c r="G48" i="9"/>
  <c r="U48" i="9"/>
  <c r="U47" i="9" s="1"/>
  <c r="AK48" i="9"/>
  <c r="AK47" i="9" s="1"/>
  <c r="T48" i="9"/>
  <c r="T47" i="9" s="1"/>
  <c r="AG48" i="9"/>
  <c r="AG47" i="9" s="1"/>
  <c r="S48" i="9"/>
  <c r="S47" i="9" s="1"/>
  <c r="AF48" i="9"/>
  <c r="AF47" i="9" s="1"/>
  <c r="Q48" i="9"/>
  <c r="Q47" i="9" s="1"/>
  <c r="AE48" i="9"/>
  <c r="AE47" i="9" s="1"/>
  <c r="AD48" i="9"/>
  <c r="AD47" i="9" s="1"/>
  <c r="L48" i="9"/>
  <c r="L47" i="9" s="1"/>
  <c r="M48" i="9"/>
  <c r="M47" i="9" s="1"/>
  <c r="F36" i="9"/>
  <c r="D36" i="9" s="1"/>
  <c r="F35" i="9"/>
  <c r="N11" i="9"/>
  <c r="AK68" i="8"/>
  <c r="P68" i="8"/>
  <c r="V68" i="8"/>
  <c r="R68" i="8"/>
  <c r="AC68" i="8"/>
  <c r="AF68" i="8"/>
  <c r="Y68" i="8"/>
  <c r="M68" i="8"/>
  <c r="T68" i="8"/>
  <c r="W68" i="8"/>
  <c r="O68" i="8"/>
  <c r="AD68" i="8"/>
  <c r="AI68" i="8"/>
  <c r="Q68" i="8"/>
  <c r="X68" i="8"/>
  <c r="F44" i="8"/>
  <c r="N13" i="8" s="1"/>
  <c r="N12" i="8" s="1"/>
  <c r="G45" i="8"/>
  <c r="D46" i="8"/>
  <c r="N68" i="8"/>
  <c r="E68" i="8"/>
  <c r="AB68" i="8"/>
  <c r="U68" i="8"/>
  <c r="D51" i="8"/>
  <c r="F52" i="8"/>
  <c r="F53" i="8" s="1"/>
  <c r="F31" i="8"/>
  <c r="G31" i="8" s="1"/>
  <c r="H31" i="8" s="1"/>
  <c r="I31" i="8" s="1"/>
  <c r="J31" i="8" s="1"/>
  <c r="K31" i="8" s="1"/>
  <c r="L31" i="8" s="1"/>
  <c r="M31" i="8" s="1"/>
  <c r="N31" i="8" s="1"/>
  <c r="O31" i="8" s="1"/>
  <c r="P31" i="8" s="1"/>
  <c r="Q31" i="8" s="1"/>
  <c r="R31" i="8" s="1"/>
  <c r="S31" i="8" s="1"/>
  <c r="T31" i="8" s="1"/>
  <c r="U31" i="8" s="1"/>
  <c r="V31" i="8" s="1"/>
  <c r="W31" i="8" s="1"/>
  <c r="X31" i="8" s="1"/>
  <c r="Y31" i="8" s="1"/>
  <c r="Z31" i="8" s="1"/>
  <c r="AA31" i="8" s="1"/>
  <c r="AB31" i="8" s="1"/>
  <c r="AC31" i="8" s="1"/>
  <c r="AD31" i="8" s="1"/>
  <c r="AE31" i="8" s="1"/>
  <c r="AF31" i="8" s="1"/>
  <c r="AG31" i="8" s="1"/>
  <c r="AH31" i="8" s="1"/>
  <c r="AI31" i="8" s="1"/>
  <c r="AJ31" i="8" s="1"/>
  <c r="AK31" i="8" s="1"/>
  <c r="AL31" i="8" s="1"/>
  <c r="D29" i="8"/>
  <c r="AA68" i="8"/>
  <c r="F59" i="8"/>
  <c r="F68" i="8" s="1"/>
  <c r="E65" i="8"/>
  <c r="D62" i="8"/>
  <c r="C8" i="10" s="1"/>
  <c r="C6" i="10" s="1"/>
  <c r="Z68" i="8"/>
  <c r="I68" i="8"/>
  <c r="S68" i="8"/>
  <c r="J68" i="6"/>
  <c r="R68" i="6"/>
  <c r="H68" i="6"/>
  <c r="I68" i="6"/>
  <c r="Z68" i="6"/>
  <c r="K68" i="6"/>
  <c r="AJ68" i="6"/>
  <c r="AK68" i="6"/>
  <c r="F44" i="6"/>
  <c r="N13" i="6" s="1"/>
  <c r="N12" i="6" s="1"/>
  <c r="E40" i="6"/>
  <c r="D40" i="6" s="1"/>
  <c r="D39" i="6"/>
  <c r="F59" i="6"/>
  <c r="D29" i="6"/>
  <c r="D24" i="6"/>
  <c r="AA68" i="6"/>
  <c r="D62" i="6"/>
  <c r="E65" i="6"/>
  <c r="D46" i="6"/>
  <c r="G45" i="6"/>
  <c r="AG68" i="6"/>
  <c r="J66" i="5"/>
  <c r="L66" i="5"/>
  <c r="F51" i="5"/>
  <c r="D24" i="5"/>
  <c r="E34" i="5"/>
  <c r="D65" i="5"/>
  <c r="N66" i="5"/>
  <c r="E64" i="5"/>
  <c r="D64" i="5" s="1"/>
  <c r="D61" i="5"/>
  <c r="M66" i="5"/>
  <c r="G66" i="5"/>
  <c r="H66" i="5"/>
  <c r="D60" i="5"/>
  <c r="K66" i="5"/>
  <c r="I66" i="5"/>
  <c r="D44" i="8" l="1"/>
  <c r="B12" i="7"/>
  <c r="AC43" i="9"/>
  <c r="X43" i="9"/>
  <c r="N43" i="9"/>
  <c r="L43" i="9"/>
  <c r="G43" i="9"/>
  <c r="AH43" i="9"/>
  <c r="S43" i="9"/>
  <c r="P43" i="9"/>
  <c r="Z43" i="9"/>
  <c r="I43" i="9"/>
  <c r="AE43" i="9"/>
  <c r="AD43" i="9"/>
  <c r="R43" i="9"/>
  <c r="H43" i="9"/>
  <c r="AL43" i="9"/>
  <c r="W43" i="9"/>
  <c r="J43" i="9"/>
  <c r="AB43" i="9"/>
  <c r="O43" i="9"/>
  <c r="AA43" i="9"/>
  <c r="K43" i="9"/>
  <c r="AK43" i="9"/>
  <c r="T43" i="9"/>
  <c r="AG43" i="9"/>
  <c r="F43" i="9"/>
  <c r="Q43" i="9"/>
  <c r="M43" i="9"/>
  <c r="AI43" i="9"/>
  <c r="AJ43" i="9"/>
  <c r="D34" i="9"/>
  <c r="AF43" i="9"/>
  <c r="V43" i="9"/>
  <c r="Y43" i="9"/>
  <c r="U43" i="9"/>
  <c r="D65" i="9"/>
  <c r="E67" i="9"/>
  <c r="G47" i="9"/>
  <c r="D47" i="9" s="1"/>
  <c r="B17" i="10" s="1"/>
  <c r="D48" i="9"/>
  <c r="D35" i="9"/>
  <c r="B14" i="10" s="1"/>
  <c r="D45" i="8"/>
  <c r="C16" i="10" s="1"/>
  <c r="C13" i="10" s="1"/>
  <c r="C22" i="10" s="1"/>
  <c r="G59" i="8"/>
  <c r="G68" i="8" s="1"/>
  <c r="D68" i="8" s="1"/>
  <c r="D52" i="8"/>
  <c r="D65" i="8"/>
  <c r="E67" i="8"/>
  <c r="J55" i="8"/>
  <c r="J54" i="8" s="1"/>
  <c r="J58" i="8" s="1"/>
  <c r="J67" i="8" s="1"/>
  <c r="AL55" i="8"/>
  <c r="AL54" i="8" s="1"/>
  <c r="AL58" i="8" s="1"/>
  <c r="AL67" i="8" s="1"/>
  <c r="AB55" i="8"/>
  <c r="AB54" i="8" s="1"/>
  <c r="AB58" i="8" s="1"/>
  <c r="AB67" i="8" s="1"/>
  <c r="R55" i="8"/>
  <c r="R54" i="8" s="1"/>
  <c r="R58" i="8" s="1"/>
  <c r="R67" i="8" s="1"/>
  <c r="H55" i="8"/>
  <c r="H54" i="8" s="1"/>
  <c r="H58" i="8" s="1"/>
  <c r="H67" i="8" s="1"/>
  <c r="U55" i="8"/>
  <c r="U54" i="8" s="1"/>
  <c r="U58" i="8" s="1"/>
  <c r="U67" i="8" s="1"/>
  <c r="AF55" i="8"/>
  <c r="AF54" i="8" s="1"/>
  <c r="AF58" i="8" s="1"/>
  <c r="AF67" i="8" s="1"/>
  <c r="N55" i="8"/>
  <c r="N54" i="8" s="1"/>
  <c r="N58" i="8" s="1"/>
  <c r="N67" i="8" s="1"/>
  <c r="AE55" i="8"/>
  <c r="AE54" i="8" s="1"/>
  <c r="AE58" i="8" s="1"/>
  <c r="AE67" i="8" s="1"/>
  <c r="L55" i="8"/>
  <c r="L54" i="8" s="1"/>
  <c r="L58" i="8" s="1"/>
  <c r="L67" i="8" s="1"/>
  <c r="D53" i="8"/>
  <c r="K55" i="8"/>
  <c r="K54" i="8" s="1"/>
  <c r="K58" i="8" s="1"/>
  <c r="K67" i="8" s="1"/>
  <c r="F58" i="8"/>
  <c r="AH55" i="8"/>
  <c r="AH54" i="8" s="1"/>
  <c r="AH58" i="8" s="1"/>
  <c r="AH67" i="8" s="1"/>
  <c r="V55" i="8"/>
  <c r="V54" i="8" s="1"/>
  <c r="V58" i="8" s="1"/>
  <c r="V67" i="8" s="1"/>
  <c r="X55" i="8"/>
  <c r="X54" i="8" s="1"/>
  <c r="X58" i="8" s="1"/>
  <c r="X67" i="8" s="1"/>
  <c r="M55" i="8"/>
  <c r="M54" i="8" s="1"/>
  <c r="M58" i="8" s="1"/>
  <c r="M67" i="8" s="1"/>
  <c r="G55" i="8"/>
  <c r="AI55" i="8"/>
  <c r="AI54" i="8" s="1"/>
  <c r="AI58" i="8" s="1"/>
  <c r="AI67" i="8" s="1"/>
  <c r="W55" i="8"/>
  <c r="W54" i="8" s="1"/>
  <c r="W58" i="8" s="1"/>
  <c r="W67" i="8" s="1"/>
  <c r="Q55" i="8"/>
  <c r="Q54" i="8" s="1"/>
  <c r="Q58" i="8" s="1"/>
  <c r="Q67" i="8" s="1"/>
  <c r="AG55" i="8"/>
  <c r="AG54" i="8" s="1"/>
  <c r="AG58" i="8" s="1"/>
  <c r="AG67" i="8" s="1"/>
  <c r="P55" i="8"/>
  <c r="P54" i="8" s="1"/>
  <c r="P58" i="8" s="1"/>
  <c r="P67" i="8" s="1"/>
  <c r="AD55" i="8"/>
  <c r="AD54" i="8" s="1"/>
  <c r="AD58" i="8" s="1"/>
  <c r="AD67" i="8" s="1"/>
  <c r="AA55" i="8"/>
  <c r="AA54" i="8" s="1"/>
  <c r="AA58" i="8" s="1"/>
  <c r="AA67" i="8" s="1"/>
  <c r="O55" i="8"/>
  <c r="O54" i="8" s="1"/>
  <c r="O58" i="8" s="1"/>
  <c r="O67" i="8" s="1"/>
  <c r="AK55" i="8"/>
  <c r="AK54" i="8" s="1"/>
  <c r="AK58" i="8" s="1"/>
  <c r="AK67" i="8" s="1"/>
  <c r="I55" i="8"/>
  <c r="I54" i="8" s="1"/>
  <c r="I58" i="8" s="1"/>
  <c r="I67" i="8" s="1"/>
  <c r="AC55" i="8"/>
  <c r="AC54" i="8" s="1"/>
  <c r="AC58" i="8" s="1"/>
  <c r="AC67" i="8" s="1"/>
  <c r="Y55" i="8"/>
  <c r="Y54" i="8" s="1"/>
  <c r="Y58" i="8" s="1"/>
  <c r="Y67" i="8" s="1"/>
  <c r="T55" i="8"/>
  <c r="T54" i="8" s="1"/>
  <c r="T58" i="8" s="1"/>
  <c r="T67" i="8" s="1"/>
  <c r="AJ55" i="8"/>
  <c r="AJ54" i="8" s="1"/>
  <c r="AJ58" i="8" s="1"/>
  <c r="AJ67" i="8" s="1"/>
  <c r="S55" i="8"/>
  <c r="S54" i="8" s="1"/>
  <c r="S58" i="8" s="1"/>
  <c r="S67" i="8" s="1"/>
  <c r="Z55" i="8"/>
  <c r="Z54" i="8" s="1"/>
  <c r="Z58" i="8" s="1"/>
  <c r="Z67" i="8" s="1"/>
  <c r="D44" i="6"/>
  <c r="D65" i="6"/>
  <c r="E67" i="6"/>
  <c r="F51" i="6"/>
  <c r="F68" i="6"/>
  <c r="D45" i="6"/>
  <c r="G59" i="6"/>
  <c r="G68" i="6" s="1"/>
  <c r="E52" i="5"/>
  <c r="E58" i="5" s="1"/>
  <c r="F66" i="5"/>
  <c r="D66" i="5" s="1"/>
  <c r="AF43" i="5"/>
  <c r="AE43" i="5"/>
  <c r="D34" i="5"/>
  <c r="Z43" i="5"/>
  <c r="Y43" i="5"/>
  <c r="AJ43" i="5"/>
  <c r="V43" i="5"/>
  <c r="AI43" i="5"/>
  <c r="U43" i="5"/>
  <c r="E43" i="5"/>
  <c r="O43" i="5"/>
  <c r="M43" i="5"/>
  <c r="Q43" i="5"/>
  <c r="AB43" i="5"/>
  <c r="S43" i="5"/>
  <c r="R43" i="5"/>
  <c r="G43" i="5"/>
  <c r="N43" i="5"/>
  <c r="AA43" i="5"/>
  <c r="AL43" i="5"/>
  <c r="AK43" i="5"/>
  <c r="P43" i="5"/>
  <c r="X43" i="5"/>
  <c r="AG43" i="5"/>
  <c r="AC43" i="5"/>
  <c r="AH43" i="5"/>
  <c r="T43" i="5"/>
  <c r="W43" i="5"/>
  <c r="AD43" i="5"/>
  <c r="H43" i="5"/>
  <c r="L43" i="5"/>
  <c r="F43" i="5"/>
  <c r="K43" i="5"/>
  <c r="I43" i="5"/>
  <c r="J43" i="5"/>
  <c r="C16" i="7" l="1"/>
  <c r="C13" i="7" s="1"/>
  <c r="C22" i="7" s="1"/>
  <c r="G44" i="5"/>
  <c r="H44" i="9"/>
  <c r="C24" i="10"/>
  <c r="F8" i="11" s="1"/>
  <c r="C8" i="11"/>
  <c r="D59" i="8"/>
  <c r="F44" i="9"/>
  <c r="G54" i="8"/>
  <c r="D55" i="8"/>
  <c r="F67" i="8"/>
  <c r="D59" i="6"/>
  <c r="F52" i="6"/>
  <c r="D51" i="6"/>
  <c r="D68" i="6"/>
  <c r="F44" i="5"/>
  <c r="N13" i="5" s="1"/>
  <c r="N12" i="5" s="1"/>
  <c r="D44" i="5"/>
  <c r="E67" i="5"/>
  <c r="C18" i="4"/>
  <c r="C9" i="4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C10" i="4"/>
  <c r="B10" i="4"/>
  <c r="F48" i="3"/>
  <c r="G48" i="3"/>
  <c r="H48" i="3"/>
  <c r="I48" i="3"/>
  <c r="I47" i="3" s="1"/>
  <c r="J48" i="3"/>
  <c r="K48" i="3"/>
  <c r="L48" i="3"/>
  <c r="L47" i="3" s="1"/>
  <c r="M48" i="3"/>
  <c r="M47" i="3" s="1"/>
  <c r="N48" i="3"/>
  <c r="N47" i="3" s="1"/>
  <c r="O48" i="3"/>
  <c r="O47" i="3" s="1"/>
  <c r="P48" i="3"/>
  <c r="Q48" i="3"/>
  <c r="R48" i="3"/>
  <c r="S48" i="3"/>
  <c r="T48" i="3"/>
  <c r="U48" i="3"/>
  <c r="V48" i="3"/>
  <c r="V47" i="3" s="1"/>
  <c r="W48" i="3"/>
  <c r="W47" i="3" s="1"/>
  <c r="X48" i="3"/>
  <c r="X47" i="3" s="1"/>
  <c r="Y48" i="3"/>
  <c r="Y47" i="3" s="1"/>
  <c r="Z48" i="3"/>
  <c r="AA48" i="3"/>
  <c r="AB48" i="3"/>
  <c r="AC48" i="3"/>
  <c r="AD48" i="3"/>
  <c r="AE48" i="3"/>
  <c r="AF48" i="3"/>
  <c r="AF47" i="3" s="1"/>
  <c r="AG48" i="3"/>
  <c r="AG47" i="3" s="1"/>
  <c r="AH48" i="3"/>
  <c r="AH47" i="3" s="1"/>
  <c r="AI48" i="3"/>
  <c r="AI47" i="3" s="1"/>
  <c r="AJ48" i="3"/>
  <c r="AK48" i="3"/>
  <c r="AL48" i="3"/>
  <c r="E48" i="3"/>
  <c r="F47" i="3"/>
  <c r="G47" i="3"/>
  <c r="H47" i="3"/>
  <c r="J47" i="3"/>
  <c r="K47" i="3"/>
  <c r="P47" i="3"/>
  <c r="Q47" i="3"/>
  <c r="R47" i="3"/>
  <c r="S47" i="3"/>
  <c r="T47" i="3"/>
  <c r="U47" i="3"/>
  <c r="Z47" i="3"/>
  <c r="AA47" i="3"/>
  <c r="AB47" i="3"/>
  <c r="AC47" i="3"/>
  <c r="AD47" i="3"/>
  <c r="AE47" i="3"/>
  <c r="AJ47" i="3"/>
  <c r="AK47" i="3"/>
  <c r="AL47" i="3"/>
  <c r="E47" i="3"/>
  <c r="B17" i="4"/>
  <c r="C8" i="4"/>
  <c r="B8" i="4"/>
  <c r="C14" i="4"/>
  <c r="B14" i="4"/>
  <c r="AL62" i="3"/>
  <c r="AK62" i="3"/>
  <c r="AJ62" i="3"/>
  <c r="AJ65" i="3" s="1"/>
  <c r="AI62" i="3"/>
  <c r="AI65" i="3" s="1"/>
  <c r="AH62" i="3"/>
  <c r="AH65" i="3" s="1"/>
  <c r="AG62" i="3"/>
  <c r="AG65" i="3" s="1"/>
  <c r="AF62" i="3"/>
  <c r="AF65" i="3" s="1"/>
  <c r="AE62" i="3"/>
  <c r="AE65" i="3" s="1"/>
  <c r="AD62" i="3"/>
  <c r="AC62" i="3"/>
  <c r="AB62" i="3"/>
  <c r="AA62" i="3"/>
  <c r="Z62" i="3"/>
  <c r="Y62" i="3"/>
  <c r="Y65" i="3" s="1"/>
  <c r="X62" i="3"/>
  <c r="X65" i="3" s="1"/>
  <c r="W62" i="3"/>
  <c r="W65" i="3" s="1"/>
  <c r="V62" i="3"/>
  <c r="V65" i="3" s="1"/>
  <c r="U62" i="3"/>
  <c r="U65" i="3" s="1"/>
  <c r="T62" i="3"/>
  <c r="S62" i="3"/>
  <c r="S65" i="3" s="1"/>
  <c r="R62" i="3"/>
  <c r="Q62" i="3"/>
  <c r="P62" i="3"/>
  <c r="O62" i="3"/>
  <c r="O65" i="3" s="1"/>
  <c r="N62" i="3"/>
  <c r="M62" i="3"/>
  <c r="L62" i="3"/>
  <c r="K62" i="3"/>
  <c r="J62" i="3"/>
  <c r="I62" i="3"/>
  <c r="H62" i="3"/>
  <c r="G62" i="3"/>
  <c r="E62" i="3"/>
  <c r="F62" i="3"/>
  <c r="E62" i="2"/>
  <c r="G62" i="2"/>
  <c r="H62" i="2"/>
  <c r="I62" i="2"/>
  <c r="J62" i="2"/>
  <c r="K62" i="2"/>
  <c r="L62" i="2"/>
  <c r="M62" i="2"/>
  <c r="N62" i="2"/>
  <c r="N65" i="2" s="1"/>
  <c r="O62" i="2"/>
  <c r="O65" i="2" s="1"/>
  <c r="P62" i="2"/>
  <c r="P65" i="2" s="1"/>
  <c r="Q62" i="2"/>
  <c r="R62" i="2"/>
  <c r="R65" i="2" s="1"/>
  <c r="S62" i="2"/>
  <c r="T62" i="2"/>
  <c r="U62" i="2"/>
  <c r="V62" i="2"/>
  <c r="V65" i="2" s="1"/>
  <c r="W62" i="2"/>
  <c r="W65" i="2" s="1"/>
  <c r="X62" i="2"/>
  <c r="X65" i="2" s="1"/>
  <c r="Y62" i="2"/>
  <c r="Y65" i="2" s="1"/>
  <c r="Z62" i="2"/>
  <c r="Z60" i="2" s="1"/>
  <c r="Z61" i="2" s="1"/>
  <c r="Z64" i="2" s="1"/>
  <c r="AA62" i="2"/>
  <c r="AB62" i="2"/>
  <c r="AB60" i="2" s="1"/>
  <c r="AB61" i="2" s="1"/>
  <c r="AB64" i="2" s="1"/>
  <c r="AC62" i="2"/>
  <c r="AD62" i="2"/>
  <c r="AE62" i="2"/>
  <c r="AF62" i="2"/>
  <c r="AF65" i="2" s="1"/>
  <c r="AG62" i="2"/>
  <c r="AH62" i="2"/>
  <c r="AI62" i="2"/>
  <c r="AI65" i="2" s="1"/>
  <c r="AJ62" i="2"/>
  <c r="AJ65" i="2" s="1"/>
  <c r="AK62" i="2"/>
  <c r="AL62" i="2"/>
  <c r="AL65" i="2" s="1"/>
  <c r="F62" i="2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E63" i="3"/>
  <c r="C62" i="3"/>
  <c r="B63" i="3"/>
  <c r="B62" i="3"/>
  <c r="F60" i="3"/>
  <c r="G60" i="3"/>
  <c r="H60" i="3"/>
  <c r="I60" i="3"/>
  <c r="J60" i="3"/>
  <c r="K60" i="3"/>
  <c r="L60" i="3"/>
  <c r="M60" i="3"/>
  <c r="N60" i="3"/>
  <c r="N61" i="3" s="1"/>
  <c r="N64" i="3" s="1"/>
  <c r="O60" i="3"/>
  <c r="O61" i="3" s="1"/>
  <c r="O64" i="3" s="1"/>
  <c r="P60" i="3"/>
  <c r="Q60" i="3"/>
  <c r="R60" i="3"/>
  <c r="S60" i="3"/>
  <c r="S61" i="3" s="1"/>
  <c r="S64" i="3" s="1"/>
  <c r="T60" i="3"/>
  <c r="U60" i="3"/>
  <c r="U61" i="3" s="1"/>
  <c r="U64" i="3" s="1"/>
  <c r="V60" i="3"/>
  <c r="V61" i="3" s="1"/>
  <c r="V64" i="3" s="1"/>
  <c r="W60" i="3"/>
  <c r="W61" i="3" s="1"/>
  <c r="W64" i="3" s="1"/>
  <c r="X60" i="3"/>
  <c r="X61" i="3" s="1"/>
  <c r="X64" i="3" s="1"/>
  <c r="Y60" i="3"/>
  <c r="Y61" i="3" s="1"/>
  <c r="Y64" i="3" s="1"/>
  <c r="Z60" i="3"/>
  <c r="AA60" i="3"/>
  <c r="AB60" i="3"/>
  <c r="AC60" i="3"/>
  <c r="AD60" i="3"/>
  <c r="AE60" i="3"/>
  <c r="AF60" i="3"/>
  <c r="AF61" i="3" s="1"/>
  <c r="AF64" i="3" s="1"/>
  <c r="AG60" i="3"/>
  <c r="AG61" i="3" s="1"/>
  <c r="AG64" i="3" s="1"/>
  <c r="AH60" i="3"/>
  <c r="AH61" i="3" s="1"/>
  <c r="AH64" i="3" s="1"/>
  <c r="AI60" i="3"/>
  <c r="AI61" i="3" s="1"/>
  <c r="AI64" i="3" s="1"/>
  <c r="AJ60" i="3"/>
  <c r="AK60" i="3"/>
  <c r="AL60" i="3"/>
  <c r="E60" i="3"/>
  <c r="C61" i="3"/>
  <c r="C22" i="3"/>
  <c r="C21" i="3"/>
  <c r="E45" i="3"/>
  <c r="F46" i="3"/>
  <c r="E46" i="3"/>
  <c r="F45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E37" i="3"/>
  <c r="N10" i="3"/>
  <c r="N46" i="3" s="1"/>
  <c r="N45" i="3" s="1"/>
  <c r="B21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E35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E36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E34" i="3"/>
  <c r="F38" i="3"/>
  <c r="G38" i="3"/>
  <c r="G39" i="3" s="1"/>
  <c r="G40" i="3" s="1"/>
  <c r="H38" i="3"/>
  <c r="H39" i="3" s="1"/>
  <c r="H40" i="3" s="1"/>
  <c r="I38" i="3"/>
  <c r="I39" i="3" s="1"/>
  <c r="I40" i="3" s="1"/>
  <c r="J38" i="3"/>
  <c r="J39" i="3" s="1"/>
  <c r="J40" i="3" s="1"/>
  <c r="K38" i="3"/>
  <c r="K39" i="3" s="1"/>
  <c r="K40" i="3" s="1"/>
  <c r="L38" i="3"/>
  <c r="L39" i="3" s="1"/>
  <c r="L40" i="3" s="1"/>
  <c r="M38" i="3"/>
  <c r="M39" i="3" s="1"/>
  <c r="M40" i="3" s="1"/>
  <c r="N38" i="3"/>
  <c r="N39" i="3" s="1"/>
  <c r="N40" i="3" s="1"/>
  <c r="O38" i="3"/>
  <c r="O39" i="3" s="1"/>
  <c r="O40" i="3" s="1"/>
  <c r="P38" i="3"/>
  <c r="Q38" i="3"/>
  <c r="Q39" i="3" s="1"/>
  <c r="Q40" i="3" s="1"/>
  <c r="R38" i="3"/>
  <c r="R39" i="3" s="1"/>
  <c r="R40" i="3" s="1"/>
  <c r="S38" i="3"/>
  <c r="S39" i="3" s="1"/>
  <c r="S40" i="3" s="1"/>
  <c r="T38" i="3"/>
  <c r="T39" i="3" s="1"/>
  <c r="T40" i="3" s="1"/>
  <c r="U38" i="3"/>
  <c r="U39" i="3" s="1"/>
  <c r="U40" i="3" s="1"/>
  <c r="V38" i="3"/>
  <c r="V39" i="3" s="1"/>
  <c r="V40" i="3" s="1"/>
  <c r="W38" i="3"/>
  <c r="W39" i="3" s="1"/>
  <c r="W40" i="3" s="1"/>
  <c r="X38" i="3"/>
  <c r="X39" i="3" s="1"/>
  <c r="X40" i="3" s="1"/>
  <c r="Y38" i="3"/>
  <c r="Y39" i="3" s="1"/>
  <c r="Y40" i="3" s="1"/>
  <c r="Z38" i="3"/>
  <c r="Z39" i="3" s="1"/>
  <c r="Z40" i="3" s="1"/>
  <c r="AA38" i="3"/>
  <c r="AA39" i="3" s="1"/>
  <c r="AA40" i="3" s="1"/>
  <c r="AB38" i="3"/>
  <c r="AB39" i="3" s="1"/>
  <c r="AB40" i="3" s="1"/>
  <c r="AC38" i="3"/>
  <c r="AC39" i="3" s="1"/>
  <c r="AC40" i="3" s="1"/>
  <c r="AD38" i="3"/>
  <c r="AD39" i="3" s="1"/>
  <c r="AD40" i="3" s="1"/>
  <c r="AE38" i="3"/>
  <c r="AE39" i="3" s="1"/>
  <c r="AE40" i="3" s="1"/>
  <c r="AF38" i="3"/>
  <c r="AF39" i="3" s="1"/>
  <c r="AF40" i="3" s="1"/>
  <c r="AG38" i="3"/>
  <c r="AG39" i="3" s="1"/>
  <c r="AG40" i="3" s="1"/>
  <c r="AH38" i="3"/>
  <c r="AH39" i="3" s="1"/>
  <c r="AH40" i="3" s="1"/>
  <c r="AI38" i="3"/>
  <c r="AI39" i="3" s="1"/>
  <c r="AI40" i="3" s="1"/>
  <c r="AJ38" i="3"/>
  <c r="AJ39" i="3" s="1"/>
  <c r="AJ40" i="3" s="1"/>
  <c r="AK38" i="3"/>
  <c r="AK39" i="3" s="1"/>
  <c r="AK40" i="3" s="1"/>
  <c r="AL38" i="3"/>
  <c r="AL39" i="3" s="1"/>
  <c r="AL40" i="3" s="1"/>
  <c r="E38" i="3"/>
  <c r="E39" i="3" s="1"/>
  <c r="F21" i="3"/>
  <c r="G21" i="3"/>
  <c r="H21" i="3"/>
  <c r="I21" i="3"/>
  <c r="J21" i="3"/>
  <c r="K21" i="3"/>
  <c r="L21" i="3"/>
  <c r="L24" i="3" s="1"/>
  <c r="M21" i="3"/>
  <c r="N21" i="3"/>
  <c r="N24" i="3" s="1"/>
  <c r="O21" i="3"/>
  <c r="P21" i="3"/>
  <c r="Q21" i="3"/>
  <c r="R21" i="3"/>
  <c r="S21" i="3"/>
  <c r="T21" i="3"/>
  <c r="U21" i="3"/>
  <c r="V21" i="3"/>
  <c r="V24" i="3" s="1"/>
  <c r="W21" i="3"/>
  <c r="W24" i="3" s="1"/>
  <c r="X21" i="3"/>
  <c r="X24" i="3" s="1"/>
  <c r="Y21" i="3"/>
  <c r="Y24" i="3" s="1"/>
  <c r="Z21" i="3"/>
  <c r="AA21" i="3"/>
  <c r="AB21" i="3"/>
  <c r="AC21" i="3"/>
  <c r="AD21" i="3"/>
  <c r="AE21" i="3"/>
  <c r="AF21" i="3"/>
  <c r="AG21" i="3"/>
  <c r="AH21" i="3"/>
  <c r="AH24" i="3" s="1"/>
  <c r="AI21" i="3"/>
  <c r="AJ21" i="3"/>
  <c r="AK21" i="3"/>
  <c r="AL21" i="3"/>
  <c r="E21" i="3"/>
  <c r="E24" i="3" s="1"/>
  <c r="AD65" i="3"/>
  <c r="AL65" i="3"/>
  <c r="AK65" i="3"/>
  <c r="AC65" i="3"/>
  <c r="AB65" i="3"/>
  <c r="AA65" i="3"/>
  <c r="Z65" i="3"/>
  <c r="T65" i="3"/>
  <c r="R65" i="3"/>
  <c r="Q65" i="3"/>
  <c r="P65" i="3"/>
  <c r="N65" i="3"/>
  <c r="F55" i="3"/>
  <c r="E55" i="3"/>
  <c r="F54" i="3"/>
  <c r="E54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E53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E44" i="3"/>
  <c r="P39" i="3"/>
  <c r="P40" i="3" s="1"/>
  <c r="AJ30" i="3"/>
  <c r="AI30" i="3"/>
  <c r="AH30" i="3"/>
  <c r="AG30" i="3"/>
  <c r="Z30" i="3"/>
  <c r="Y30" i="3"/>
  <c r="X30" i="3"/>
  <c r="W30" i="3"/>
  <c r="V30" i="3"/>
  <c r="O30" i="3"/>
  <c r="N30" i="3"/>
  <c r="M30" i="3"/>
  <c r="L30" i="3"/>
  <c r="K30" i="3"/>
  <c r="I30" i="3"/>
  <c r="E28" i="3"/>
  <c r="E27" i="3"/>
  <c r="E29" i="3" s="1"/>
  <c r="H30" i="3"/>
  <c r="E30" i="3"/>
  <c r="AJ24" i="3"/>
  <c r="AI24" i="3"/>
  <c r="AG24" i="3"/>
  <c r="AF24" i="3"/>
  <c r="Z24" i="3"/>
  <c r="P24" i="3"/>
  <c r="O24" i="3"/>
  <c r="M18" i="3"/>
  <c r="L18" i="3"/>
  <c r="K18" i="3"/>
  <c r="J18" i="3"/>
  <c r="I18" i="3"/>
  <c r="H18" i="3"/>
  <c r="G18" i="3"/>
  <c r="E18" i="3"/>
  <c r="H14" i="3"/>
  <c r="AF28" i="3" s="1"/>
  <c r="H13" i="3"/>
  <c r="G27" i="3" s="1"/>
  <c r="G29" i="3" s="1"/>
  <c r="B8" i="3"/>
  <c r="E7" i="3"/>
  <c r="H12" i="3" s="1"/>
  <c r="AH65" i="2"/>
  <c r="AG65" i="2"/>
  <c r="AL63" i="2"/>
  <c r="AK63" i="2"/>
  <c r="AJ63" i="2"/>
  <c r="AI63" i="2"/>
  <c r="AH63" i="2"/>
  <c r="AH60" i="2" s="1"/>
  <c r="AH61" i="2" s="1"/>
  <c r="AH64" i="2" s="1"/>
  <c r="AG63" i="2"/>
  <c r="AF63" i="2"/>
  <c r="AE63" i="2"/>
  <c r="AD63" i="2"/>
  <c r="AC63" i="2"/>
  <c r="AB63" i="2"/>
  <c r="AA63" i="2"/>
  <c r="Z63" i="2"/>
  <c r="Y63" i="2"/>
  <c r="X63" i="2"/>
  <c r="X60" i="2" s="1"/>
  <c r="X61" i="2" s="1"/>
  <c r="X64" i="2" s="1"/>
  <c r="W63" i="2"/>
  <c r="V63" i="2"/>
  <c r="U63" i="2"/>
  <c r="T63" i="2"/>
  <c r="S63" i="2"/>
  <c r="R63" i="2"/>
  <c r="Q63" i="2"/>
  <c r="P63" i="2"/>
  <c r="O63" i="2"/>
  <c r="N63" i="2"/>
  <c r="N60" i="2" s="1"/>
  <c r="N61" i="2" s="1"/>
  <c r="N64" i="2" s="1"/>
  <c r="AK65" i="2"/>
  <c r="AE65" i="2"/>
  <c r="AD65" i="2"/>
  <c r="AC65" i="2"/>
  <c r="AB65" i="2"/>
  <c r="AA65" i="2"/>
  <c r="Z65" i="2"/>
  <c r="U65" i="2"/>
  <c r="T65" i="2"/>
  <c r="S65" i="2"/>
  <c r="Q65" i="2"/>
  <c r="AL60" i="2"/>
  <c r="AL61" i="2" s="1"/>
  <c r="AL64" i="2" s="1"/>
  <c r="AK60" i="2"/>
  <c r="AK61" i="2" s="1"/>
  <c r="AK64" i="2" s="1"/>
  <c r="AE60" i="2"/>
  <c r="AE61" i="2" s="1"/>
  <c r="AE64" i="2" s="1"/>
  <c r="AD60" i="2"/>
  <c r="AD61" i="2" s="1"/>
  <c r="AD64" i="2" s="1"/>
  <c r="AC60" i="2"/>
  <c r="AC61" i="2" s="1"/>
  <c r="AC64" i="2" s="1"/>
  <c r="AA60" i="2"/>
  <c r="AA61" i="2" s="1"/>
  <c r="AA64" i="2" s="1"/>
  <c r="U60" i="2"/>
  <c r="U61" i="2" s="1"/>
  <c r="U64" i="2" s="1"/>
  <c r="T60" i="2"/>
  <c r="T61" i="2" s="1"/>
  <c r="T64" i="2" s="1"/>
  <c r="Q60" i="2"/>
  <c r="Q61" i="2" s="1"/>
  <c r="Q64" i="2" s="1"/>
  <c r="O60" i="2"/>
  <c r="O61" i="2" s="1"/>
  <c r="O64" i="2" s="1"/>
  <c r="F55" i="2"/>
  <c r="E55" i="2"/>
  <c r="F54" i="2"/>
  <c r="E54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E53" i="2"/>
  <c r="F48" i="2"/>
  <c r="E48" i="2"/>
  <c r="F47" i="2"/>
  <c r="E47" i="2"/>
  <c r="F46" i="2"/>
  <c r="E46" i="2"/>
  <c r="F45" i="2"/>
  <c r="E45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E44" i="2"/>
  <c r="V39" i="2"/>
  <c r="V40" i="2" s="1"/>
  <c r="AL38" i="2"/>
  <c r="AL39" i="2" s="1"/>
  <c r="AL40" i="2" s="1"/>
  <c r="AK38" i="2"/>
  <c r="AK39" i="2" s="1"/>
  <c r="AK40" i="2" s="1"/>
  <c r="AJ38" i="2"/>
  <c r="AJ39" i="2" s="1"/>
  <c r="AJ40" i="2" s="1"/>
  <c r="AI38" i="2"/>
  <c r="AI39" i="2" s="1"/>
  <c r="AI40" i="2" s="1"/>
  <c r="AH38" i="2"/>
  <c r="AH39" i="2" s="1"/>
  <c r="AH40" i="2" s="1"/>
  <c r="AG38" i="2"/>
  <c r="AG39" i="2" s="1"/>
  <c r="AG40" i="2" s="1"/>
  <c r="AF38" i="2"/>
  <c r="AF39" i="2" s="1"/>
  <c r="AF40" i="2" s="1"/>
  <c r="AE38" i="2"/>
  <c r="AE39" i="2" s="1"/>
  <c r="AE40" i="2" s="1"/>
  <c r="AD38" i="2"/>
  <c r="AD39" i="2" s="1"/>
  <c r="AD40" i="2" s="1"/>
  <c r="AC38" i="2"/>
  <c r="AC39" i="2" s="1"/>
  <c r="AC40" i="2" s="1"/>
  <c r="AB38" i="2"/>
  <c r="AB39" i="2" s="1"/>
  <c r="AB40" i="2" s="1"/>
  <c r="AA38" i="2"/>
  <c r="AA39" i="2" s="1"/>
  <c r="AA40" i="2" s="1"/>
  <c r="Z38" i="2"/>
  <c r="Z39" i="2" s="1"/>
  <c r="Z40" i="2" s="1"/>
  <c r="Y38" i="2"/>
  <c r="Y39" i="2" s="1"/>
  <c r="Y40" i="2" s="1"/>
  <c r="X38" i="2"/>
  <c r="X39" i="2" s="1"/>
  <c r="X40" i="2" s="1"/>
  <c r="W38" i="2"/>
  <c r="W39" i="2" s="1"/>
  <c r="W40" i="2" s="1"/>
  <c r="V38" i="2"/>
  <c r="U38" i="2"/>
  <c r="U39" i="2" s="1"/>
  <c r="U40" i="2" s="1"/>
  <c r="T38" i="2"/>
  <c r="T39" i="2" s="1"/>
  <c r="T40" i="2" s="1"/>
  <c r="S38" i="2"/>
  <c r="S39" i="2" s="1"/>
  <c r="S40" i="2" s="1"/>
  <c r="R38" i="2"/>
  <c r="R39" i="2" s="1"/>
  <c r="R40" i="2" s="1"/>
  <c r="Q38" i="2"/>
  <c r="Q39" i="2" s="1"/>
  <c r="Q40" i="2" s="1"/>
  <c r="P38" i="2"/>
  <c r="P39" i="2" s="1"/>
  <c r="P40" i="2" s="1"/>
  <c r="O38" i="2"/>
  <c r="O39" i="2" s="1"/>
  <c r="O40" i="2" s="1"/>
  <c r="N38" i="2"/>
  <c r="N39" i="2" s="1"/>
  <c r="N40" i="2" s="1"/>
  <c r="M38" i="2"/>
  <c r="M39" i="2" s="1"/>
  <c r="M40" i="2" s="1"/>
  <c r="L38" i="2"/>
  <c r="L39" i="2" s="1"/>
  <c r="L40" i="2" s="1"/>
  <c r="K38" i="2"/>
  <c r="K39" i="2" s="1"/>
  <c r="K40" i="2" s="1"/>
  <c r="J38" i="2"/>
  <c r="J39" i="2" s="1"/>
  <c r="J40" i="2" s="1"/>
  <c r="I38" i="2"/>
  <c r="I39" i="2" s="1"/>
  <c r="I40" i="2" s="1"/>
  <c r="H38" i="2"/>
  <c r="H39" i="2" s="1"/>
  <c r="H40" i="2" s="1"/>
  <c r="G38" i="2"/>
  <c r="G39" i="2" s="1"/>
  <c r="G40" i="2" s="1"/>
  <c r="E38" i="2"/>
  <c r="E39" i="2" s="1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E37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E36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E35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L34" i="2"/>
  <c r="I34" i="2"/>
  <c r="G34" i="2"/>
  <c r="AF30" i="2"/>
  <c r="AD30" i="2"/>
  <c r="AA30" i="2"/>
  <c r="X30" i="2"/>
  <c r="L30" i="2"/>
  <c r="K30" i="2"/>
  <c r="J30" i="2"/>
  <c r="P29" i="2"/>
  <c r="AK28" i="2"/>
  <c r="AI28" i="2"/>
  <c r="AD28" i="2"/>
  <c r="AA28" i="2"/>
  <c r="Y28" i="2"/>
  <c r="X28" i="2"/>
  <c r="W28" i="2"/>
  <c r="V28" i="2"/>
  <c r="N28" i="2"/>
  <c r="M28" i="2"/>
  <c r="L28" i="2"/>
  <c r="K28" i="2"/>
  <c r="J28" i="2"/>
  <c r="I28" i="2"/>
  <c r="E28" i="2"/>
  <c r="AJ27" i="2"/>
  <c r="AJ29" i="2" s="1"/>
  <c r="AI27" i="2"/>
  <c r="AI29" i="2" s="1"/>
  <c r="AH27" i="2"/>
  <c r="AH29" i="2" s="1"/>
  <c r="AG27" i="2"/>
  <c r="AG29" i="2" s="1"/>
  <c r="Z27" i="2"/>
  <c r="Z29" i="2" s="1"/>
  <c r="Y27" i="2"/>
  <c r="Y29" i="2" s="1"/>
  <c r="X27" i="2"/>
  <c r="X29" i="2" s="1"/>
  <c r="W27" i="2"/>
  <c r="W29" i="2" s="1"/>
  <c r="P27" i="2"/>
  <c r="O27" i="2"/>
  <c r="O29" i="2" s="1"/>
  <c r="N27" i="2"/>
  <c r="N29" i="2" s="1"/>
  <c r="M27" i="2"/>
  <c r="M29" i="2" s="1"/>
  <c r="F27" i="2"/>
  <c r="F29" i="2" s="1"/>
  <c r="E27" i="2"/>
  <c r="E29" i="2" s="1"/>
  <c r="AI30" i="2"/>
  <c r="AH30" i="2"/>
  <c r="Y30" i="2"/>
  <c r="W30" i="2"/>
  <c r="V30" i="2"/>
  <c r="D22" i="2"/>
  <c r="B7" i="4"/>
  <c r="B6" i="4" s="1"/>
  <c r="AL21" i="2"/>
  <c r="AL24" i="2" s="1"/>
  <c r="AI21" i="2"/>
  <c r="AI24" i="2" s="1"/>
  <c r="AH21" i="2"/>
  <c r="AH24" i="2" s="1"/>
  <c r="AI51" i="2" s="1"/>
  <c r="AI52" i="2" s="1"/>
  <c r="AG21" i="2"/>
  <c r="AG24" i="2" s="1"/>
  <c r="AF21" i="2"/>
  <c r="AF24" i="2" s="1"/>
  <c r="AE21" i="2"/>
  <c r="AE24" i="2" s="1"/>
  <c r="AD21" i="2"/>
  <c r="AD24" i="2" s="1"/>
  <c r="AC21" i="2"/>
  <c r="AC24" i="2" s="1"/>
  <c r="AD51" i="2" s="1"/>
  <c r="AB21" i="2"/>
  <c r="AB24" i="2" s="1"/>
  <c r="Y21" i="2"/>
  <c r="Y24" i="2" s="1"/>
  <c r="X21" i="2"/>
  <c r="X24" i="2" s="1"/>
  <c r="W21" i="2"/>
  <c r="W24" i="2" s="1"/>
  <c r="V21" i="2"/>
  <c r="V24" i="2" s="1"/>
  <c r="W51" i="2" s="1"/>
  <c r="W52" i="2" s="1"/>
  <c r="U21" i="2"/>
  <c r="U24" i="2" s="1"/>
  <c r="T21" i="2"/>
  <c r="T24" i="2" s="1"/>
  <c r="S21" i="2"/>
  <c r="S24" i="2" s="1"/>
  <c r="R21" i="2"/>
  <c r="R24" i="2" s="1"/>
  <c r="O21" i="2"/>
  <c r="O24" i="2" s="1"/>
  <c r="N21" i="2"/>
  <c r="N24" i="2" s="1"/>
  <c r="M18" i="2"/>
  <c r="M63" i="2" s="1"/>
  <c r="L18" i="2"/>
  <c r="L21" i="2" s="1"/>
  <c r="L24" i="2" s="1"/>
  <c r="K18" i="2"/>
  <c r="J18" i="2"/>
  <c r="I18" i="2"/>
  <c r="I63" i="2" s="1"/>
  <c r="H18" i="2"/>
  <c r="G18" i="2"/>
  <c r="E18" i="2"/>
  <c r="H14" i="2"/>
  <c r="O28" i="2" s="1"/>
  <c r="H13" i="2"/>
  <c r="AF27" i="2" s="1"/>
  <c r="AF29" i="2" s="1"/>
  <c r="B8" i="2"/>
  <c r="AK21" i="2" s="1"/>
  <c r="AK24" i="2" s="1"/>
  <c r="C24" i="7" l="1"/>
  <c r="F7" i="11" s="1"/>
  <c r="C7" i="11"/>
  <c r="Y51" i="2"/>
  <c r="T51" i="2"/>
  <c r="T52" i="2"/>
  <c r="AF51" i="2"/>
  <c r="AH51" i="2"/>
  <c r="AH52" i="2" s="1"/>
  <c r="X51" i="2"/>
  <c r="X52" i="2" s="1"/>
  <c r="AL51" i="2"/>
  <c r="AD52" i="2"/>
  <c r="AF52" i="2"/>
  <c r="M51" i="2"/>
  <c r="U51" i="2"/>
  <c r="U52" i="2" s="1"/>
  <c r="AG51" i="2"/>
  <c r="AG52" i="2" s="1"/>
  <c r="AJ51" i="2"/>
  <c r="V51" i="2"/>
  <c r="V52" i="2" s="1"/>
  <c r="Y52" i="2"/>
  <c r="Z51" i="2"/>
  <c r="O51" i="2"/>
  <c r="O52" i="2" s="1"/>
  <c r="AC51" i="2"/>
  <c r="AC52" i="2" s="1"/>
  <c r="AL52" i="2"/>
  <c r="P51" i="2"/>
  <c r="S51" i="2"/>
  <c r="S52" i="2" s="1"/>
  <c r="AE51" i="2"/>
  <c r="AE52" i="2" s="1"/>
  <c r="N13" i="9"/>
  <c r="N12" i="9" s="1"/>
  <c r="H38" i="9" s="1"/>
  <c r="H39" i="9" s="1"/>
  <c r="H40" i="9" s="1"/>
  <c r="I51" i="9" s="1"/>
  <c r="I52" i="9" s="1"/>
  <c r="D44" i="9"/>
  <c r="G58" i="8"/>
  <c r="D54" i="8"/>
  <c r="F53" i="6"/>
  <c r="D52" i="6"/>
  <c r="G38" i="5"/>
  <c r="G39" i="5" s="1"/>
  <c r="G40" i="5" s="1"/>
  <c r="H51" i="5" s="1"/>
  <c r="H52" i="5" s="1"/>
  <c r="G37" i="5"/>
  <c r="AI46" i="5"/>
  <c r="AI45" i="5" s="1"/>
  <c r="AI59" i="5" s="1"/>
  <c r="AI68" i="5" s="1"/>
  <c r="Y46" i="5"/>
  <c r="Y45" i="5" s="1"/>
  <c r="Y59" i="5" s="1"/>
  <c r="Y68" i="5" s="1"/>
  <c r="O46" i="5"/>
  <c r="O45" i="5" s="1"/>
  <c r="O59" i="5" s="1"/>
  <c r="O68" i="5" s="1"/>
  <c r="AH46" i="5"/>
  <c r="AH45" i="5" s="1"/>
  <c r="AH59" i="5" s="1"/>
  <c r="AH68" i="5" s="1"/>
  <c r="X46" i="5"/>
  <c r="X45" i="5" s="1"/>
  <c r="X59" i="5" s="1"/>
  <c r="X68" i="5" s="1"/>
  <c r="N46" i="5"/>
  <c r="N45" i="5" s="1"/>
  <c r="N59" i="5" s="1"/>
  <c r="N68" i="5" s="1"/>
  <c r="AG46" i="5"/>
  <c r="AG45" i="5" s="1"/>
  <c r="AG59" i="5" s="1"/>
  <c r="AG68" i="5" s="1"/>
  <c r="W46" i="5"/>
  <c r="W45" i="5" s="1"/>
  <c r="W59" i="5" s="1"/>
  <c r="W68" i="5" s="1"/>
  <c r="M46" i="5"/>
  <c r="M45" i="5" s="1"/>
  <c r="M59" i="5" s="1"/>
  <c r="M68" i="5" s="1"/>
  <c r="AF46" i="5"/>
  <c r="AF45" i="5" s="1"/>
  <c r="AF59" i="5" s="1"/>
  <c r="AF68" i="5" s="1"/>
  <c r="V46" i="5"/>
  <c r="V45" i="5" s="1"/>
  <c r="V59" i="5" s="1"/>
  <c r="V68" i="5" s="1"/>
  <c r="L46" i="5"/>
  <c r="L45" i="5" s="1"/>
  <c r="L59" i="5" s="1"/>
  <c r="L68" i="5" s="1"/>
  <c r="F37" i="5"/>
  <c r="AC46" i="5"/>
  <c r="AC45" i="5" s="1"/>
  <c r="AC59" i="5" s="1"/>
  <c r="AC68" i="5" s="1"/>
  <c r="S46" i="5"/>
  <c r="S45" i="5" s="1"/>
  <c r="S59" i="5" s="1"/>
  <c r="S68" i="5" s="1"/>
  <c r="I46" i="5"/>
  <c r="I45" i="5" s="1"/>
  <c r="I59" i="5" s="1"/>
  <c r="I68" i="5" s="1"/>
  <c r="AL46" i="5"/>
  <c r="AL45" i="5" s="1"/>
  <c r="AL59" i="5" s="1"/>
  <c r="AL68" i="5" s="1"/>
  <c r="AB46" i="5"/>
  <c r="AB45" i="5" s="1"/>
  <c r="AB59" i="5" s="1"/>
  <c r="AB68" i="5" s="1"/>
  <c r="R46" i="5"/>
  <c r="R45" i="5" s="1"/>
  <c r="R59" i="5" s="1"/>
  <c r="R68" i="5" s="1"/>
  <c r="H46" i="5"/>
  <c r="H45" i="5" s="1"/>
  <c r="H59" i="5" s="1"/>
  <c r="H68" i="5" s="1"/>
  <c r="AK46" i="5"/>
  <c r="AK45" i="5" s="1"/>
  <c r="AK59" i="5" s="1"/>
  <c r="AK68" i="5" s="1"/>
  <c r="AA46" i="5"/>
  <c r="AA45" i="5" s="1"/>
  <c r="AA59" i="5" s="1"/>
  <c r="AA68" i="5" s="1"/>
  <c r="Q46" i="5"/>
  <c r="Q45" i="5" s="1"/>
  <c r="Q59" i="5" s="1"/>
  <c r="Q68" i="5" s="1"/>
  <c r="G46" i="5"/>
  <c r="Z46" i="5"/>
  <c r="Z45" i="5" s="1"/>
  <c r="Z59" i="5" s="1"/>
  <c r="Z68" i="5" s="1"/>
  <c r="U46" i="5"/>
  <c r="U45" i="5" s="1"/>
  <c r="U59" i="5" s="1"/>
  <c r="U68" i="5" s="1"/>
  <c r="T46" i="5"/>
  <c r="T45" i="5" s="1"/>
  <c r="T59" i="5" s="1"/>
  <c r="T68" i="5" s="1"/>
  <c r="P46" i="5"/>
  <c r="P45" i="5" s="1"/>
  <c r="P59" i="5" s="1"/>
  <c r="P68" i="5" s="1"/>
  <c r="K46" i="5"/>
  <c r="K45" i="5" s="1"/>
  <c r="K59" i="5" s="1"/>
  <c r="K68" i="5" s="1"/>
  <c r="J46" i="5"/>
  <c r="J45" i="5" s="1"/>
  <c r="J59" i="5" s="1"/>
  <c r="J68" i="5" s="1"/>
  <c r="AJ46" i="5"/>
  <c r="AJ45" i="5" s="1"/>
  <c r="AJ59" i="5" s="1"/>
  <c r="AJ68" i="5" s="1"/>
  <c r="AE46" i="5"/>
  <c r="AE45" i="5" s="1"/>
  <c r="AE59" i="5" s="1"/>
  <c r="AE68" i="5" s="1"/>
  <c r="AD46" i="5"/>
  <c r="AD45" i="5" s="1"/>
  <c r="AD59" i="5" s="1"/>
  <c r="AD68" i="5" s="1"/>
  <c r="F38" i="5"/>
  <c r="P60" i="2"/>
  <c r="P61" i="2" s="1"/>
  <c r="P64" i="2" s="1"/>
  <c r="AI60" i="2"/>
  <c r="AI61" i="2" s="1"/>
  <c r="AI64" i="2" s="1"/>
  <c r="AJ60" i="2"/>
  <c r="AJ61" i="2" s="1"/>
  <c r="AJ64" i="2" s="1"/>
  <c r="Y60" i="2"/>
  <c r="Y61" i="2" s="1"/>
  <c r="Y64" i="2" s="1"/>
  <c r="V60" i="2"/>
  <c r="V61" i="2" s="1"/>
  <c r="V64" i="2" s="1"/>
  <c r="AF60" i="2"/>
  <c r="AF61" i="2" s="1"/>
  <c r="AF64" i="2" s="1"/>
  <c r="W60" i="2"/>
  <c r="W61" i="2" s="1"/>
  <c r="W64" i="2" s="1"/>
  <c r="AG60" i="2"/>
  <c r="AG61" i="2" s="1"/>
  <c r="AG64" i="2" s="1"/>
  <c r="AG46" i="3"/>
  <c r="AG45" i="3" s="1"/>
  <c r="W46" i="3"/>
  <c r="W45" i="3" s="1"/>
  <c r="M46" i="3"/>
  <c r="M45" i="3" s="1"/>
  <c r="AF46" i="3"/>
  <c r="AF45" i="3" s="1"/>
  <c r="V46" i="3"/>
  <c r="V45" i="3" s="1"/>
  <c r="L46" i="3"/>
  <c r="L45" i="3" s="1"/>
  <c r="AE46" i="3"/>
  <c r="AE45" i="3" s="1"/>
  <c r="U46" i="3"/>
  <c r="U45" i="3" s="1"/>
  <c r="K46" i="3"/>
  <c r="K45" i="3" s="1"/>
  <c r="AD46" i="3"/>
  <c r="AD45" i="3" s="1"/>
  <c r="T46" i="3"/>
  <c r="T45" i="3" s="1"/>
  <c r="J46" i="3"/>
  <c r="J45" i="3" s="1"/>
  <c r="AC46" i="3"/>
  <c r="AC45" i="3" s="1"/>
  <c r="S46" i="3"/>
  <c r="S45" i="3" s="1"/>
  <c r="I46" i="3"/>
  <c r="I45" i="3" s="1"/>
  <c r="AL46" i="3"/>
  <c r="AL45" i="3" s="1"/>
  <c r="AB46" i="3"/>
  <c r="AB45" i="3" s="1"/>
  <c r="R46" i="3"/>
  <c r="R45" i="3" s="1"/>
  <c r="H46" i="3"/>
  <c r="H45" i="3" s="1"/>
  <c r="AK46" i="3"/>
  <c r="AK45" i="3" s="1"/>
  <c r="AA46" i="3"/>
  <c r="AA45" i="3" s="1"/>
  <c r="Q46" i="3"/>
  <c r="Q45" i="3" s="1"/>
  <c r="G46" i="3"/>
  <c r="G45" i="3" s="1"/>
  <c r="AJ46" i="3"/>
  <c r="AJ45" i="3" s="1"/>
  <c r="Z46" i="3"/>
  <c r="Z45" i="3" s="1"/>
  <c r="P46" i="3"/>
  <c r="P45" i="3" s="1"/>
  <c r="AI46" i="3"/>
  <c r="AI45" i="3" s="1"/>
  <c r="Y46" i="3"/>
  <c r="Y45" i="3" s="1"/>
  <c r="O46" i="3"/>
  <c r="O45" i="3" s="1"/>
  <c r="F37" i="3"/>
  <c r="AH46" i="3"/>
  <c r="AH45" i="3" s="1"/>
  <c r="X46" i="3"/>
  <c r="X45" i="3" s="1"/>
  <c r="P28" i="3"/>
  <c r="Z61" i="3"/>
  <c r="Z64" i="3" s="1"/>
  <c r="R28" i="3"/>
  <c r="AA61" i="3"/>
  <c r="AA64" i="3" s="1"/>
  <c r="AC28" i="3"/>
  <c r="AB61" i="3"/>
  <c r="AB64" i="3" s="1"/>
  <c r="AK61" i="3"/>
  <c r="AK64" i="3" s="1"/>
  <c r="AE61" i="3"/>
  <c r="AE64" i="3" s="1"/>
  <c r="AE28" i="3"/>
  <c r="AC61" i="3"/>
  <c r="AC64" i="3" s="1"/>
  <c r="P61" i="3"/>
  <c r="P64" i="3" s="1"/>
  <c r="AL61" i="3"/>
  <c r="AL64" i="3" s="1"/>
  <c r="Q61" i="3"/>
  <c r="Q64" i="3" s="1"/>
  <c r="T61" i="3"/>
  <c r="T64" i="3" s="1"/>
  <c r="AD61" i="3"/>
  <c r="AD64" i="3" s="1"/>
  <c r="AI51" i="3"/>
  <c r="AI52" i="3" s="1"/>
  <c r="O51" i="3"/>
  <c r="O52" i="3" s="1"/>
  <c r="Y51" i="3"/>
  <c r="Y52" i="3" s="1"/>
  <c r="AH51" i="3"/>
  <c r="AH52" i="3" s="1"/>
  <c r="X51" i="3"/>
  <c r="X52" i="3" s="1"/>
  <c r="AD24" i="3"/>
  <c r="AE51" i="3" s="1"/>
  <c r="Z51" i="3"/>
  <c r="Z52" i="3" s="1"/>
  <c r="AA51" i="3"/>
  <c r="AG51" i="3"/>
  <c r="AG52" i="3" s="1"/>
  <c r="M51" i="3"/>
  <c r="W51" i="3"/>
  <c r="W52" i="3" s="1"/>
  <c r="P51" i="3"/>
  <c r="P52" i="3" s="1"/>
  <c r="AJ51" i="3"/>
  <c r="AJ52" i="3" s="1"/>
  <c r="Q51" i="3"/>
  <c r="AK51" i="3"/>
  <c r="D35" i="3"/>
  <c r="D36" i="3"/>
  <c r="G30" i="3"/>
  <c r="AA30" i="3"/>
  <c r="H27" i="3"/>
  <c r="H29" i="3" s="1"/>
  <c r="AD30" i="3"/>
  <c r="U28" i="3"/>
  <c r="K24" i="3"/>
  <c r="L51" i="3" s="1"/>
  <c r="L52" i="3" s="1"/>
  <c r="U24" i="3"/>
  <c r="V51" i="3" s="1"/>
  <c r="V52" i="3" s="1"/>
  <c r="AE24" i="3"/>
  <c r="AF51" i="3" s="1"/>
  <c r="AF52" i="3" s="1"/>
  <c r="F27" i="3"/>
  <c r="P27" i="3"/>
  <c r="P29" i="3" s="1"/>
  <c r="Z27" i="3"/>
  <c r="Z29" i="3" s="1"/>
  <c r="AL27" i="3"/>
  <c r="AL29" i="3" s="1"/>
  <c r="O28" i="3"/>
  <c r="AB28" i="3"/>
  <c r="U30" i="3"/>
  <c r="AK30" i="3"/>
  <c r="AA27" i="3"/>
  <c r="AA29" i="3" s="1"/>
  <c r="R27" i="3"/>
  <c r="R29" i="3" s="1"/>
  <c r="I27" i="3"/>
  <c r="I29" i="3" s="1"/>
  <c r="S27" i="3"/>
  <c r="S29" i="3" s="1"/>
  <c r="AC27" i="3"/>
  <c r="AC29" i="3" s="1"/>
  <c r="F28" i="3"/>
  <c r="S28" i="3"/>
  <c r="AK28" i="3"/>
  <c r="AA28" i="3"/>
  <c r="Q28" i="3"/>
  <c r="G28" i="3"/>
  <c r="AD28" i="3"/>
  <c r="T28" i="3"/>
  <c r="J28" i="3"/>
  <c r="J30" i="3"/>
  <c r="H28" i="3"/>
  <c r="AL30" i="3"/>
  <c r="AF27" i="3"/>
  <c r="AF29" i="3" s="1"/>
  <c r="AI27" i="3"/>
  <c r="AI29" i="3" s="1"/>
  <c r="M24" i="3"/>
  <c r="N51" i="3" s="1"/>
  <c r="N52" i="3" s="1"/>
  <c r="F18" i="3"/>
  <c r="K27" i="3"/>
  <c r="K29" i="3" s="1"/>
  <c r="U27" i="3"/>
  <c r="U29" i="3" s="1"/>
  <c r="AE27" i="3"/>
  <c r="AE29" i="3" s="1"/>
  <c r="I28" i="3"/>
  <c r="V28" i="3"/>
  <c r="AH28" i="3"/>
  <c r="AB27" i="3"/>
  <c r="AB29" i="3" s="1"/>
  <c r="T27" i="3"/>
  <c r="T29" i="3" s="1"/>
  <c r="G24" i="3"/>
  <c r="H51" i="3" s="1"/>
  <c r="Q24" i="3"/>
  <c r="R51" i="3" s="1"/>
  <c r="AA24" i="3"/>
  <c r="AB51" i="3" s="1"/>
  <c r="AK24" i="3"/>
  <c r="AL51" i="3" s="1"/>
  <c r="L27" i="3"/>
  <c r="L29" i="3" s="1"/>
  <c r="V27" i="3"/>
  <c r="V29" i="3" s="1"/>
  <c r="AG27" i="3"/>
  <c r="AG29" i="3" s="1"/>
  <c r="K28" i="3"/>
  <c r="W28" i="3"/>
  <c r="AI28" i="3"/>
  <c r="AB30" i="3"/>
  <c r="R61" i="3"/>
  <c r="R64" i="3" s="1"/>
  <c r="AD27" i="3"/>
  <c r="AD29" i="3" s="1"/>
  <c r="H11" i="3"/>
  <c r="N11" i="3" s="1"/>
  <c r="H24" i="3"/>
  <c r="I51" i="3" s="1"/>
  <c r="R24" i="3"/>
  <c r="S51" i="3" s="1"/>
  <c r="AB24" i="3"/>
  <c r="AC51" i="3" s="1"/>
  <c r="AL24" i="3"/>
  <c r="M27" i="3"/>
  <c r="M29" i="3" s="1"/>
  <c r="W27" i="3"/>
  <c r="W29" i="3" s="1"/>
  <c r="AH27" i="3"/>
  <c r="AH29" i="3" s="1"/>
  <c r="L28" i="3"/>
  <c r="X28" i="3"/>
  <c r="AJ28" i="3"/>
  <c r="P30" i="3"/>
  <c r="AC30" i="3"/>
  <c r="Q30" i="3"/>
  <c r="J27" i="3"/>
  <c r="J29" i="3" s="1"/>
  <c r="I24" i="3"/>
  <c r="J51" i="3" s="1"/>
  <c r="S24" i="3"/>
  <c r="T51" i="3" s="1"/>
  <c r="AC24" i="3"/>
  <c r="AD51" i="3" s="1"/>
  <c r="AD52" i="3" s="1"/>
  <c r="D22" i="3"/>
  <c r="C7" i="4" s="1"/>
  <c r="C6" i="4" s="1"/>
  <c r="N27" i="3"/>
  <c r="N29" i="3" s="1"/>
  <c r="X27" i="3"/>
  <c r="X29" i="3" s="1"/>
  <c r="AJ27" i="3"/>
  <c r="AJ29" i="3" s="1"/>
  <c r="M28" i="3"/>
  <c r="Y28" i="3"/>
  <c r="AL28" i="3"/>
  <c r="R30" i="3"/>
  <c r="AE30" i="3"/>
  <c r="AJ61" i="3"/>
  <c r="AJ64" i="3" s="1"/>
  <c r="Q27" i="3"/>
  <c r="Q29" i="3" s="1"/>
  <c r="T30" i="3"/>
  <c r="AG28" i="3"/>
  <c r="J24" i="3"/>
  <c r="K51" i="3" s="1"/>
  <c r="T24" i="3"/>
  <c r="U51" i="3" s="1"/>
  <c r="E59" i="3"/>
  <c r="O27" i="3"/>
  <c r="O29" i="3" s="1"/>
  <c r="Y27" i="3"/>
  <c r="Y29" i="3" s="1"/>
  <c r="AK27" i="3"/>
  <c r="AK29" i="3" s="1"/>
  <c r="N28" i="3"/>
  <c r="Z28" i="3"/>
  <c r="F30" i="3"/>
  <c r="S30" i="3"/>
  <c r="AF30" i="3"/>
  <c r="E40" i="3"/>
  <c r="E52" i="3" s="1"/>
  <c r="H65" i="2"/>
  <c r="H60" i="2"/>
  <c r="H61" i="2" s="1"/>
  <c r="H64" i="2" s="1"/>
  <c r="I21" i="2"/>
  <c r="I24" i="2" s="1"/>
  <c r="J51" i="2" s="1"/>
  <c r="E40" i="2"/>
  <c r="E59" i="2"/>
  <c r="P30" i="2"/>
  <c r="M30" i="2"/>
  <c r="J34" i="2"/>
  <c r="J63" i="2"/>
  <c r="F30" i="2"/>
  <c r="F31" i="2" s="1"/>
  <c r="G27" i="2"/>
  <c r="G29" i="2" s="1"/>
  <c r="N30" i="2"/>
  <c r="Q27" i="2"/>
  <c r="Q29" i="2" s="1"/>
  <c r="AA27" i="2"/>
  <c r="AA29" i="2" s="1"/>
  <c r="AB30" i="2"/>
  <c r="AL27" i="2"/>
  <c r="AL29" i="2" s="1"/>
  <c r="AG30" i="2"/>
  <c r="J21" i="2"/>
  <c r="J24" i="2" s="1"/>
  <c r="K51" i="2" s="1"/>
  <c r="AJ30" i="2"/>
  <c r="AC30" i="2"/>
  <c r="I27" i="2"/>
  <c r="I29" i="2" s="1"/>
  <c r="Q30" i="2"/>
  <c r="R60" i="2"/>
  <c r="R61" i="2" s="1"/>
  <c r="R64" i="2" s="1"/>
  <c r="H21" i="2"/>
  <c r="H24" i="2" s="1"/>
  <c r="I51" i="2" s="1"/>
  <c r="I52" i="2" s="1"/>
  <c r="M34" i="2"/>
  <c r="H30" i="2"/>
  <c r="H27" i="2"/>
  <c r="H29" i="2" s="1"/>
  <c r="AC28" i="2"/>
  <c r="S28" i="2"/>
  <c r="AL28" i="2"/>
  <c r="AB28" i="2"/>
  <c r="R28" i="2"/>
  <c r="AJ28" i="2"/>
  <c r="Z28" i="2"/>
  <c r="P28" i="2"/>
  <c r="F28" i="2"/>
  <c r="I30" i="2"/>
  <c r="AC27" i="2"/>
  <c r="AC29" i="2" s="1"/>
  <c r="E63" i="2"/>
  <c r="E60" i="2"/>
  <c r="E21" i="2"/>
  <c r="J27" i="2"/>
  <c r="J29" i="2" s="1"/>
  <c r="D29" i="2" s="1"/>
  <c r="T27" i="2"/>
  <c r="T29" i="2" s="1"/>
  <c r="AD27" i="2"/>
  <c r="AD29" i="2" s="1"/>
  <c r="Q28" i="2"/>
  <c r="AF28" i="2"/>
  <c r="T30" i="2"/>
  <c r="S60" i="2"/>
  <c r="S61" i="2" s="1"/>
  <c r="S64" i="2" s="1"/>
  <c r="K34" i="2"/>
  <c r="K63" i="2"/>
  <c r="K21" i="2"/>
  <c r="K24" i="2" s="1"/>
  <c r="L51" i="2" s="1"/>
  <c r="L52" i="2" s="1"/>
  <c r="L63" i="2"/>
  <c r="AK27" i="2"/>
  <c r="AK29" i="2" s="1"/>
  <c r="M21" i="2"/>
  <c r="M24" i="2" s="1"/>
  <c r="N51" i="2" s="1"/>
  <c r="N52" i="2" s="1"/>
  <c r="R30" i="2"/>
  <c r="R27" i="2"/>
  <c r="R29" i="2" s="1"/>
  <c r="E7" i="2"/>
  <c r="F18" i="2"/>
  <c r="F21" i="2"/>
  <c r="F24" i="2" s="1"/>
  <c r="P21" i="2"/>
  <c r="P24" i="2" s="1"/>
  <c r="Q51" i="2" s="1"/>
  <c r="Z21" i="2"/>
  <c r="Z24" i="2" s="1"/>
  <c r="AA51" i="2" s="1"/>
  <c r="AJ21" i="2"/>
  <c r="AJ24" i="2" s="1"/>
  <c r="AK51" i="2" s="1"/>
  <c r="AK52" i="2" s="1"/>
  <c r="U30" i="2"/>
  <c r="AE30" i="2"/>
  <c r="K27" i="2"/>
  <c r="K29" i="2" s="1"/>
  <c r="U27" i="2"/>
  <c r="U29" i="2" s="1"/>
  <c r="AE27" i="2"/>
  <c r="AE29" i="2" s="1"/>
  <c r="G28" i="2"/>
  <c r="T28" i="2"/>
  <c r="AG28" i="2"/>
  <c r="E30" i="2"/>
  <c r="AK30" i="2"/>
  <c r="H63" i="2"/>
  <c r="H34" i="2"/>
  <c r="Z30" i="2"/>
  <c r="AL30" i="2"/>
  <c r="AB27" i="2"/>
  <c r="AB29" i="2" s="1"/>
  <c r="O30" i="2"/>
  <c r="S30" i="2"/>
  <c r="S27" i="2"/>
  <c r="S29" i="2" s="1"/>
  <c r="AE28" i="2"/>
  <c r="G63" i="2"/>
  <c r="G21" i="2"/>
  <c r="G24" i="2" s="1"/>
  <c r="H51" i="2" s="1"/>
  <c r="Q21" i="2"/>
  <c r="Q24" i="2" s="1"/>
  <c r="R51" i="2" s="1"/>
  <c r="R52" i="2" s="1"/>
  <c r="AA21" i="2"/>
  <c r="AA24" i="2" s="1"/>
  <c r="AB51" i="2" s="1"/>
  <c r="AB52" i="2" s="1"/>
  <c r="L27" i="2"/>
  <c r="L29" i="2" s="1"/>
  <c r="V27" i="2"/>
  <c r="V29" i="2" s="1"/>
  <c r="H28" i="2"/>
  <c r="U28" i="2"/>
  <c r="AH28" i="2"/>
  <c r="G30" i="2"/>
  <c r="H52" i="2" l="1"/>
  <c r="F38" i="9"/>
  <c r="N10" i="9"/>
  <c r="H37" i="9" s="1"/>
  <c r="H52" i="9" s="1"/>
  <c r="H53" i="9" s="1"/>
  <c r="G67" i="8"/>
  <c r="D67" i="8" s="1"/>
  <c r="D58" i="8"/>
  <c r="F58" i="6"/>
  <c r="AA55" i="6"/>
  <c r="AA54" i="6" s="1"/>
  <c r="AA58" i="6" s="1"/>
  <c r="AA67" i="6" s="1"/>
  <c r="I55" i="6"/>
  <c r="I54" i="6" s="1"/>
  <c r="I58" i="6" s="1"/>
  <c r="I67" i="6" s="1"/>
  <c r="Z55" i="6"/>
  <c r="Z54" i="6" s="1"/>
  <c r="Z58" i="6" s="1"/>
  <c r="Z67" i="6" s="1"/>
  <c r="H55" i="6"/>
  <c r="H54" i="6" s="1"/>
  <c r="H58" i="6" s="1"/>
  <c r="H67" i="6" s="1"/>
  <c r="X55" i="6"/>
  <c r="X54" i="6" s="1"/>
  <c r="X58" i="6" s="1"/>
  <c r="X67" i="6" s="1"/>
  <c r="G55" i="6"/>
  <c r="D53" i="6"/>
  <c r="AL55" i="6"/>
  <c r="AL54" i="6" s="1"/>
  <c r="AL58" i="6" s="1"/>
  <c r="AL67" i="6" s="1"/>
  <c r="W55" i="6"/>
  <c r="W54" i="6" s="1"/>
  <c r="W58" i="6" s="1"/>
  <c r="W67" i="6" s="1"/>
  <c r="AK55" i="6"/>
  <c r="AK54" i="6" s="1"/>
  <c r="AK58" i="6" s="1"/>
  <c r="AK67" i="6" s="1"/>
  <c r="S55" i="6"/>
  <c r="S54" i="6" s="1"/>
  <c r="S58" i="6" s="1"/>
  <c r="S67" i="6" s="1"/>
  <c r="AJ55" i="6"/>
  <c r="AJ54" i="6" s="1"/>
  <c r="AJ58" i="6" s="1"/>
  <c r="AJ67" i="6" s="1"/>
  <c r="R55" i="6"/>
  <c r="R54" i="6" s="1"/>
  <c r="R58" i="6" s="1"/>
  <c r="R67" i="6" s="1"/>
  <c r="AH55" i="6"/>
  <c r="AH54" i="6" s="1"/>
  <c r="AH58" i="6" s="1"/>
  <c r="AH67" i="6" s="1"/>
  <c r="Q55" i="6"/>
  <c r="Q54" i="6" s="1"/>
  <c r="Q58" i="6" s="1"/>
  <c r="Q67" i="6" s="1"/>
  <c r="AC55" i="6"/>
  <c r="AC54" i="6" s="1"/>
  <c r="AC58" i="6" s="1"/>
  <c r="AC67" i="6" s="1"/>
  <c r="N55" i="6"/>
  <c r="N54" i="6" s="1"/>
  <c r="N58" i="6" s="1"/>
  <c r="N67" i="6" s="1"/>
  <c r="P55" i="6"/>
  <c r="P54" i="6" s="1"/>
  <c r="P58" i="6" s="1"/>
  <c r="P67" i="6" s="1"/>
  <c r="M55" i="6"/>
  <c r="M54" i="6" s="1"/>
  <c r="M58" i="6" s="1"/>
  <c r="M67" i="6" s="1"/>
  <c r="AG55" i="6"/>
  <c r="AG54" i="6" s="1"/>
  <c r="AG58" i="6" s="1"/>
  <c r="AG67" i="6" s="1"/>
  <c r="AB55" i="6"/>
  <c r="AB54" i="6" s="1"/>
  <c r="AB58" i="6" s="1"/>
  <c r="AB67" i="6" s="1"/>
  <c r="J55" i="6"/>
  <c r="J54" i="6" s="1"/>
  <c r="J58" i="6" s="1"/>
  <c r="J67" i="6" s="1"/>
  <c r="T55" i="6"/>
  <c r="T54" i="6" s="1"/>
  <c r="T58" i="6" s="1"/>
  <c r="T67" i="6" s="1"/>
  <c r="K55" i="6"/>
  <c r="K54" i="6" s="1"/>
  <c r="K58" i="6" s="1"/>
  <c r="K67" i="6" s="1"/>
  <c r="O55" i="6"/>
  <c r="O54" i="6" s="1"/>
  <c r="O58" i="6" s="1"/>
  <c r="O67" i="6" s="1"/>
  <c r="AD55" i="6"/>
  <c r="AD54" i="6" s="1"/>
  <c r="AD58" i="6" s="1"/>
  <c r="AD67" i="6" s="1"/>
  <c r="U55" i="6"/>
  <c r="U54" i="6" s="1"/>
  <c r="U58" i="6" s="1"/>
  <c r="U67" i="6" s="1"/>
  <c r="L55" i="6"/>
  <c r="L54" i="6" s="1"/>
  <c r="L58" i="6" s="1"/>
  <c r="L67" i="6" s="1"/>
  <c r="AI55" i="6"/>
  <c r="AI54" i="6" s="1"/>
  <c r="AI58" i="6" s="1"/>
  <c r="AI67" i="6" s="1"/>
  <c r="AF55" i="6"/>
  <c r="AF54" i="6" s="1"/>
  <c r="AF58" i="6" s="1"/>
  <c r="AF67" i="6" s="1"/>
  <c r="AE55" i="6"/>
  <c r="AE54" i="6" s="1"/>
  <c r="AE58" i="6" s="1"/>
  <c r="AE67" i="6" s="1"/>
  <c r="Y55" i="6"/>
  <c r="Y54" i="6" s="1"/>
  <c r="Y58" i="6" s="1"/>
  <c r="Y67" i="6" s="1"/>
  <c r="V55" i="6"/>
  <c r="V54" i="6" s="1"/>
  <c r="V58" i="6" s="1"/>
  <c r="V67" i="6" s="1"/>
  <c r="F39" i="5"/>
  <c r="D38" i="5"/>
  <c r="D37" i="5"/>
  <c r="B15" i="7" s="1"/>
  <c r="F59" i="5"/>
  <c r="G45" i="5"/>
  <c r="D46" i="5"/>
  <c r="J52" i="3"/>
  <c r="S52" i="3"/>
  <c r="I52" i="3"/>
  <c r="T52" i="3"/>
  <c r="AL52" i="3"/>
  <c r="AB52" i="3"/>
  <c r="E58" i="3"/>
  <c r="D28" i="3"/>
  <c r="D30" i="3"/>
  <c r="E43" i="3"/>
  <c r="D48" i="3"/>
  <c r="R52" i="3"/>
  <c r="F51" i="3"/>
  <c r="J61" i="3"/>
  <c r="J64" i="3" s="1"/>
  <c r="J65" i="3"/>
  <c r="E61" i="3"/>
  <c r="E68" i="3" s="1"/>
  <c r="H52" i="3"/>
  <c r="AA52" i="3"/>
  <c r="AE52" i="3"/>
  <c r="H65" i="3"/>
  <c r="H61" i="3"/>
  <c r="H64" i="3" s="1"/>
  <c r="AK52" i="3"/>
  <c r="G65" i="3"/>
  <c r="G61" i="3"/>
  <c r="G64" i="3" s="1"/>
  <c r="U52" i="3"/>
  <c r="L61" i="3"/>
  <c r="L64" i="3" s="1"/>
  <c r="L65" i="3"/>
  <c r="Q52" i="3"/>
  <c r="M61" i="3"/>
  <c r="M64" i="3" s="1"/>
  <c r="M65" i="3"/>
  <c r="E65" i="3"/>
  <c r="K61" i="3"/>
  <c r="K64" i="3" s="1"/>
  <c r="K65" i="3"/>
  <c r="I61" i="3"/>
  <c r="I64" i="3" s="1"/>
  <c r="I65" i="3"/>
  <c r="D27" i="3"/>
  <c r="F29" i="3"/>
  <c r="K52" i="3"/>
  <c r="AC52" i="3"/>
  <c r="D63" i="3"/>
  <c r="D62" i="3"/>
  <c r="D47" i="3"/>
  <c r="C17" i="4" s="1"/>
  <c r="M52" i="3"/>
  <c r="D30" i="2"/>
  <c r="E61" i="2"/>
  <c r="M60" i="2"/>
  <c r="M61" i="2" s="1"/>
  <c r="M64" i="2" s="1"/>
  <c r="M65" i="2"/>
  <c r="Z52" i="2"/>
  <c r="J60" i="2"/>
  <c r="J61" i="2" s="1"/>
  <c r="J64" i="2" s="1"/>
  <c r="J65" i="2"/>
  <c r="D27" i="2"/>
  <c r="E68" i="2"/>
  <c r="E65" i="2"/>
  <c r="D62" i="2"/>
  <c r="AA52" i="2"/>
  <c r="J52" i="2"/>
  <c r="P52" i="2"/>
  <c r="K60" i="2"/>
  <c r="K61" i="2" s="1"/>
  <c r="K64" i="2" s="1"/>
  <c r="K65" i="2"/>
  <c r="Q52" i="2"/>
  <c r="K52" i="2"/>
  <c r="G31" i="2"/>
  <c r="H31" i="2" s="1"/>
  <c r="I31" i="2" s="1"/>
  <c r="J31" i="2" s="1"/>
  <c r="K31" i="2" s="1"/>
  <c r="L31" i="2" s="1"/>
  <c r="M31" i="2" s="1"/>
  <c r="N31" i="2" s="1"/>
  <c r="O31" i="2" s="1"/>
  <c r="P31" i="2" s="1"/>
  <c r="Q31" i="2" s="1"/>
  <c r="R31" i="2" s="1"/>
  <c r="S31" i="2" s="1"/>
  <c r="T31" i="2" s="1"/>
  <c r="U31" i="2" s="1"/>
  <c r="V31" i="2" s="1"/>
  <c r="W31" i="2" s="1"/>
  <c r="X31" i="2" s="1"/>
  <c r="Y31" i="2" s="1"/>
  <c r="Z31" i="2" s="1"/>
  <c r="AA31" i="2" s="1"/>
  <c r="AB31" i="2" s="1"/>
  <c r="AC31" i="2" s="1"/>
  <c r="AD31" i="2" s="1"/>
  <c r="AE31" i="2" s="1"/>
  <c r="AF31" i="2" s="1"/>
  <c r="AG31" i="2" s="1"/>
  <c r="AH31" i="2" s="1"/>
  <c r="AI31" i="2" s="1"/>
  <c r="AJ31" i="2" s="1"/>
  <c r="AK31" i="2" s="1"/>
  <c r="AL31" i="2" s="1"/>
  <c r="D21" i="2"/>
  <c r="E24" i="2"/>
  <c r="F63" i="2"/>
  <c r="D63" i="2" s="1"/>
  <c r="F34" i="2"/>
  <c r="L60" i="2"/>
  <c r="L61" i="2" s="1"/>
  <c r="L64" i="2" s="1"/>
  <c r="L65" i="2"/>
  <c r="H12" i="2"/>
  <c r="H11" i="2"/>
  <c r="N11" i="2" s="1"/>
  <c r="D28" i="2"/>
  <c r="AJ52" i="2"/>
  <c r="G65" i="2"/>
  <c r="G60" i="2"/>
  <c r="G61" i="2" s="1"/>
  <c r="G64" i="2" s="1"/>
  <c r="I65" i="2"/>
  <c r="I60" i="2"/>
  <c r="I61" i="2" s="1"/>
  <c r="I64" i="2" s="1"/>
  <c r="M52" i="2"/>
  <c r="O46" i="9" l="1"/>
  <c r="O45" i="9" s="1"/>
  <c r="O59" i="9" s="1"/>
  <c r="AF46" i="9"/>
  <c r="AF45" i="9" s="1"/>
  <c r="AF59" i="9" s="1"/>
  <c r="J46" i="9"/>
  <c r="J45" i="9" s="1"/>
  <c r="J59" i="9" s="1"/>
  <c r="AH46" i="9"/>
  <c r="AH45" i="9" s="1"/>
  <c r="AH59" i="9" s="1"/>
  <c r="Q46" i="9"/>
  <c r="Q45" i="9" s="1"/>
  <c r="Q59" i="9" s="1"/>
  <c r="W46" i="9"/>
  <c r="W45" i="9" s="1"/>
  <c r="W59" i="9" s="1"/>
  <c r="X46" i="9"/>
  <c r="X45" i="9" s="1"/>
  <c r="X59" i="9" s="1"/>
  <c r="I46" i="9"/>
  <c r="I45" i="9" s="1"/>
  <c r="I59" i="9" s="1"/>
  <c r="R46" i="9"/>
  <c r="R45" i="9" s="1"/>
  <c r="R59" i="9" s="1"/>
  <c r="H46" i="9"/>
  <c r="H45" i="9" s="1"/>
  <c r="H59" i="9" s="1"/>
  <c r="AJ46" i="9"/>
  <c r="AJ45" i="9" s="1"/>
  <c r="AJ59" i="9" s="1"/>
  <c r="AC46" i="9"/>
  <c r="AC45" i="9" s="1"/>
  <c r="AC59" i="9" s="1"/>
  <c r="AA46" i="9"/>
  <c r="AA45" i="9" s="1"/>
  <c r="AA59" i="9" s="1"/>
  <c r="AE46" i="9"/>
  <c r="AE45" i="9" s="1"/>
  <c r="AE59" i="9" s="1"/>
  <c r="T46" i="9"/>
  <c r="T45" i="9" s="1"/>
  <c r="T59" i="9" s="1"/>
  <c r="N46" i="9"/>
  <c r="N45" i="9" s="1"/>
  <c r="N59" i="9" s="1"/>
  <c r="M46" i="9"/>
  <c r="M45" i="9" s="1"/>
  <c r="M59" i="9" s="1"/>
  <c r="V46" i="9"/>
  <c r="V45" i="9" s="1"/>
  <c r="V59" i="9" s="1"/>
  <c r="AD46" i="9"/>
  <c r="AD45" i="9" s="1"/>
  <c r="AD59" i="9" s="1"/>
  <c r="P46" i="9"/>
  <c r="P45" i="9" s="1"/>
  <c r="P59" i="9" s="1"/>
  <c r="AL46" i="9"/>
  <c r="AL45" i="9" s="1"/>
  <c r="AL59" i="9" s="1"/>
  <c r="F37" i="9"/>
  <c r="G46" i="9"/>
  <c r="AK46" i="9"/>
  <c r="AK45" i="9" s="1"/>
  <c r="AK59" i="9" s="1"/>
  <c r="S46" i="9"/>
  <c r="S45" i="9" s="1"/>
  <c r="S59" i="9" s="1"/>
  <c r="AB46" i="9"/>
  <c r="AB45" i="9" s="1"/>
  <c r="AB59" i="9" s="1"/>
  <c r="U46" i="9"/>
  <c r="U45" i="9" s="1"/>
  <c r="U59" i="9" s="1"/>
  <c r="Y46" i="9"/>
  <c r="Y45" i="9" s="1"/>
  <c r="Y59" i="9" s="1"/>
  <c r="Z46" i="9"/>
  <c r="Z45" i="9" s="1"/>
  <c r="Z59" i="9" s="1"/>
  <c r="L46" i="9"/>
  <c r="L45" i="9" s="1"/>
  <c r="L59" i="9" s="1"/>
  <c r="AI46" i="9"/>
  <c r="AI45" i="9" s="1"/>
  <c r="AI59" i="9" s="1"/>
  <c r="AG46" i="9"/>
  <c r="AG45" i="9" s="1"/>
  <c r="AG59" i="9" s="1"/>
  <c r="K46" i="9"/>
  <c r="K45" i="9" s="1"/>
  <c r="K59" i="9" s="1"/>
  <c r="F39" i="9"/>
  <c r="D38" i="9"/>
  <c r="G54" i="6"/>
  <c r="D55" i="6"/>
  <c r="F67" i="6"/>
  <c r="G59" i="5"/>
  <c r="G68" i="5" s="1"/>
  <c r="D45" i="5"/>
  <c r="B16" i="7" s="1"/>
  <c r="B13" i="7" s="1"/>
  <c r="F68" i="5"/>
  <c r="F40" i="5"/>
  <c r="F52" i="5" s="1"/>
  <c r="D39" i="5"/>
  <c r="B11" i="7" s="1"/>
  <c r="B9" i="7" s="1"/>
  <c r="E64" i="3"/>
  <c r="E67" i="3" s="1"/>
  <c r="F31" i="3"/>
  <c r="G31" i="3" s="1"/>
  <c r="H31" i="3" s="1"/>
  <c r="I31" i="3" s="1"/>
  <c r="J31" i="3" s="1"/>
  <c r="K31" i="3" s="1"/>
  <c r="L31" i="3" s="1"/>
  <c r="M31" i="3" s="1"/>
  <c r="N31" i="3" s="1"/>
  <c r="O31" i="3" s="1"/>
  <c r="P31" i="3" s="1"/>
  <c r="Q31" i="3" s="1"/>
  <c r="R31" i="3" s="1"/>
  <c r="S31" i="3" s="1"/>
  <c r="T31" i="3" s="1"/>
  <c r="U31" i="3" s="1"/>
  <c r="V31" i="3" s="1"/>
  <c r="W31" i="3" s="1"/>
  <c r="X31" i="3" s="1"/>
  <c r="Y31" i="3" s="1"/>
  <c r="Z31" i="3" s="1"/>
  <c r="AA31" i="3" s="1"/>
  <c r="AB31" i="3" s="1"/>
  <c r="AC31" i="3" s="1"/>
  <c r="AD31" i="3" s="1"/>
  <c r="AE31" i="3" s="1"/>
  <c r="AF31" i="3" s="1"/>
  <c r="AG31" i="3" s="1"/>
  <c r="AH31" i="3" s="1"/>
  <c r="AI31" i="3" s="1"/>
  <c r="AJ31" i="3" s="1"/>
  <c r="AK31" i="3" s="1"/>
  <c r="AL31" i="3" s="1"/>
  <c r="D29" i="3"/>
  <c r="D21" i="3"/>
  <c r="F24" i="3"/>
  <c r="F65" i="3"/>
  <c r="F51" i="2"/>
  <c r="D24" i="2"/>
  <c r="E34" i="2"/>
  <c r="F43" i="2" s="1"/>
  <c r="E64" i="2"/>
  <c r="F66" i="2" s="1"/>
  <c r="D66" i="2" s="1"/>
  <c r="F65" i="2"/>
  <c r="D65" i="2" s="1"/>
  <c r="F60" i="2"/>
  <c r="AF48" i="2"/>
  <c r="AF47" i="2" s="1"/>
  <c r="V48" i="2"/>
  <c r="V47" i="2" s="1"/>
  <c r="L48" i="2"/>
  <c r="L47" i="2" s="1"/>
  <c r="F35" i="2"/>
  <c r="AE48" i="2"/>
  <c r="AE47" i="2" s="1"/>
  <c r="U48" i="2"/>
  <c r="U47" i="2" s="1"/>
  <c r="K48" i="2"/>
  <c r="K47" i="2" s="1"/>
  <c r="AD48" i="2"/>
  <c r="AD47" i="2" s="1"/>
  <c r="T48" i="2"/>
  <c r="T47" i="2" s="1"/>
  <c r="J48" i="2"/>
  <c r="J47" i="2" s="1"/>
  <c r="AC48" i="2"/>
  <c r="AC47" i="2" s="1"/>
  <c r="S48" i="2"/>
  <c r="S47" i="2" s="1"/>
  <c r="I48" i="2"/>
  <c r="I47" i="2" s="1"/>
  <c r="AJ48" i="2"/>
  <c r="AJ47" i="2" s="1"/>
  <c r="Z48" i="2"/>
  <c r="Z47" i="2" s="1"/>
  <c r="P48" i="2"/>
  <c r="P47" i="2" s="1"/>
  <c r="AI48" i="2"/>
  <c r="AI47" i="2" s="1"/>
  <c r="Y48" i="2"/>
  <c r="Y47" i="2" s="1"/>
  <c r="O48" i="2"/>
  <c r="O47" i="2" s="1"/>
  <c r="AH48" i="2"/>
  <c r="AH47" i="2" s="1"/>
  <c r="X48" i="2"/>
  <c r="X47" i="2" s="1"/>
  <c r="N48" i="2"/>
  <c r="N47" i="2" s="1"/>
  <c r="AG48" i="2"/>
  <c r="AG47" i="2" s="1"/>
  <c r="W48" i="2"/>
  <c r="W47" i="2" s="1"/>
  <c r="M48" i="2"/>
  <c r="M47" i="2" s="1"/>
  <c r="AB48" i="2"/>
  <c r="AB47" i="2" s="1"/>
  <c r="AA48" i="2"/>
  <c r="AA47" i="2" s="1"/>
  <c r="R48" i="2"/>
  <c r="R47" i="2" s="1"/>
  <c r="Q48" i="2"/>
  <c r="Q47" i="2" s="1"/>
  <c r="H48" i="2"/>
  <c r="H47" i="2" s="1"/>
  <c r="F36" i="2"/>
  <c r="D36" i="2" s="1"/>
  <c r="G48" i="2"/>
  <c r="AL48" i="2"/>
  <c r="AL47" i="2" s="1"/>
  <c r="AK48" i="2"/>
  <c r="AK47" i="2" s="1"/>
  <c r="F40" i="9" l="1"/>
  <c r="D39" i="9"/>
  <c r="B11" i="10" s="1"/>
  <c r="G45" i="9"/>
  <c r="D46" i="9"/>
  <c r="D37" i="9"/>
  <c r="B15" i="10" s="1"/>
  <c r="F52" i="9"/>
  <c r="F59" i="9"/>
  <c r="D54" i="6"/>
  <c r="G58" i="6"/>
  <c r="D68" i="5"/>
  <c r="D59" i="5"/>
  <c r="F53" i="5"/>
  <c r="G51" i="5"/>
  <c r="D40" i="5"/>
  <c r="B19" i="7" s="1"/>
  <c r="D65" i="3"/>
  <c r="F61" i="3"/>
  <c r="D60" i="3"/>
  <c r="D24" i="3"/>
  <c r="D35" i="2"/>
  <c r="F61" i="2"/>
  <c r="D60" i="2"/>
  <c r="G47" i="2"/>
  <c r="D47" i="2" s="1"/>
  <c r="D48" i="2"/>
  <c r="E43" i="2"/>
  <c r="AE43" i="2"/>
  <c r="U43" i="2"/>
  <c r="AD43" i="2"/>
  <c r="T43" i="2"/>
  <c r="AL43" i="2"/>
  <c r="AB43" i="2"/>
  <c r="R43" i="2"/>
  <c r="D34" i="2"/>
  <c r="AG43" i="2"/>
  <c r="W43" i="2"/>
  <c r="Y43" i="2"/>
  <c r="AA43" i="2"/>
  <c r="AJ43" i="2"/>
  <c r="S43" i="2"/>
  <c r="Z43" i="2"/>
  <c r="G43" i="2"/>
  <c r="V43" i="2"/>
  <c r="O43" i="2"/>
  <c r="L43" i="2"/>
  <c r="AI43" i="2"/>
  <c r="AK43" i="2"/>
  <c r="AC43" i="2"/>
  <c r="I43" i="2"/>
  <c r="AF43" i="2"/>
  <c r="N43" i="2"/>
  <c r="X43" i="2"/>
  <c r="AH43" i="2"/>
  <c r="P43" i="2"/>
  <c r="Q43" i="2"/>
  <c r="J43" i="2"/>
  <c r="H43" i="2"/>
  <c r="K43" i="2"/>
  <c r="M43" i="2"/>
  <c r="E52" i="2"/>
  <c r="F44" i="2" l="1"/>
  <c r="D44" i="2" s="1"/>
  <c r="F53" i="9"/>
  <c r="G51" i="9"/>
  <c r="D40" i="9"/>
  <c r="G59" i="9"/>
  <c r="D59" i="9" s="1"/>
  <c r="D45" i="9"/>
  <c r="B16" i="10" s="1"/>
  <c r="B13" i="10" s="1"/>
  <c r="G67" i="6"/>
  <c r="D67" i="6" s="1"/>
  <c r="D58" i="6"/>
  <c r="G55" i="5"/>
  <c r="G52" i="5"/>
  <c r="G53" i="5" s="1"/>
  <c r="AF55" i="5" s="1"/>
  <c r="AF54" i="5" s="1"/>
  <c r="AF58" i="5" s="1"/>
  <c r="AF67" i="5" s="1"/>
  <c r="D51" i="5"/>
  <c r="B20" i="7" s="1"/>
  <c r="B18" i="7" s="1"/>
  <c r="B22" i="7" s="1"/>
  <c r="F58" i="5"/>
  <c r="F64" i="3"/>
  <c r="D61" i="3"/>
  <c r="F43" i="3"/>
  <c r="AI43" i="3"/>
  <c r="R43" i="3"/>
  <c r="Y43" i="3"/>
  <c r="AK43" i="3"/>
  <c r="G43" i="3"/>
  <c r="J43" i="3"/>
  <c r="X43" i="3"/>
  <c r="H43" i="3"/>
  <c r="AH43" i="3"/>
  <c r="O43" i="3"/>
  <c r="Q43" i="3"/>
  <c r="M43" i="3"/>
  <c r="N43" i="3"/>
  <c r="AE43" i="3"/>
  <c r="AD43" i="3"/>
  <c r="W43" i="3"/>
  <c r="S43" i="3"/>
  <c r="T43" i="3"/>
  <c r="K43" i="3"/>
  <c r="AC43" i="3"/>
  <c r="Z43" i="3"/>
  <c r="P43" i="3"/>
  <c r="AF43" i="3"/>
  <c r="L43" i="3"/>
  <c r="AL43" i="3"/>
  <c r="D34" i="3"/>
  <c r="AG43" i="3"/>
  <c r="U43" i="3"/>
  <c r="V43" i="3"/>
  <c r="AJ43" i="3"/>
  <c r="AB43" i="3"/>
  <c r="I43" i="3"/>
  <c r="AA43" i="3"/>
  <c r="N13" i="2"/>
  <c r="N12" i="2" s="1"/>
  <c r="E58" i="2"/>
  <c r="F64" i="2"/>
  <c r="D61" i="2"/>
  <c r="B12" i="4" s="1"/>
  <c r="B7" i="11" l="1"/>
  <c r="B24" i="7"/>
  <c r="E7" i="11" s="1"/>
  <c r="C23" i="7"/>
  <c r="D7" i="11" s="1"/>
  <c r="G52" i="9"/>
  <c r="D52" i="9" s="1"/>
  <c r="D51" i="9"/>
  <c r="B20" i="10" s="1"/>
  <c r="P55" i="9"/>
  <c r="P54" i="9" s="1"/>
  <c r="P58" i="9" s="1"/>
  <c r="AL55" i="9"/>
  <c r="AL54" i="9" s="1"/>
  <c r="AL58" i="9" s="1"/>
  <c r="I55" i="9"/>
  <c r="I54" i="9" s="1"/>
  <c r="I58" i="9" s="1"/>
  <c r="W55" i="9"/>
  <c r="W54" i="9" s="1"/>
  <c r="W58" i="9" s="1"/>
  <c r="J55" i="9"/>
  <c r="J54" i="9" s="1"/>
  <c r="J58" i="9" s="1"/>
  <c r="X55" i="9"/>
  <c r="X54" i="9" s="1"/>
  <c r="X58" i="9" s="1"/>
  <c r="AC55" i="9"/>
  <c r="AC54" i="9" s="1"/>
  <c r="AC58" i="9" s="1"/>
  <c r="O55" i="9"/>
  <c r="O54" i="9" s="1"/>
  <c r="O58" i="9" s="1"/>
  <c r="Q55" i="9"/>
  <c r="Q54" i="9" s="1"/>
  <c r="Q58" i="9" s="1"/>
  <c r="Z55" i="9"/>
  <c r="Z54" i="9" s="1"/>
  <c r="Z58" i="9" s="1"/>
  <c r="K55" i="9"/>
  <c r="K54" i="9" s="1"/>
  <c r="K58" i="9" s="1"/>
  <c r="M55" i="9"/>
  <c r="M54" i="9" s="1"/>
  <c r="M58" i="9" s="1"/>
  <c r="AF55" i="9"/>
  <c r="AF54" i="9" s="1"/>
  <c r="AF58" i="9" s="1"/>
  <c r="Y55" i="9"/>
  <c r="Y54" i="9" s="1"/>
  <c r="Y58" i="9" s="1"/>
  <c r="V55" i="9"/>
  <c r="V54" i="9" s="1"/>
  <c r="V58" i="9" s="1"/>
  <c r="N55" i="9"/>
  <c r="N54" i="9" s="1"/>
  <c r="N58" i="9" s="1"/>
  <c r="AJ55" i="9"/>
  <c r="AJ54" i="9" s="1"/>
  <c r="AJ58" i="9" s="1"/>
  <c r="AA55" i="9"/>
  <c r="AA54" i="9" s="1"/>
  <c r="AA58" i="9" s="1"/>
  <c r="AG55" i="9"/>
  <c r="AG54" i="9" s="1"/>
  <c r="AG58" i="9" s="1"/>
  <c r="F58" i="9"/>
  <c r="T55" i="9"/>
  <c r="T54" i="9" s="1"/>
  <c r="T58" i="9" s="1"/>
  <c r="U55" i="9"/>
  <c r="U54" i="9" s="1"/>
  <c r="U58" i="9" s="1"/>
  <c r="H55" i="9"/>
  <c r="H54" i="9" s="1"/>
  <c r="H58" i="9" s="1"/>
  <c r="AH55" i="9"/>
  <c r="AH54" i="9" s="1"/>
  <c r="AH58" i="9" s="1"/>
  <c r="AB55" i="9"/>
  <c r="AB54" i="9" s="1"/>
  <c r="AB58" i="9" s="1"/>
  <c r="AK55" i="9"/>
  <c r="AK54" i="9" s="1"/>
  <c r="AK58" i="9" s="1"/>
  <c r="G55" i="9"/>
  <c r="AI55" i="9"/>
  <c r="AI54" i="9" s="1"/>
  <c r="AI58" i="9" s="1"/>
  <c r="D53" i="9"/>
  <c r="S55" i="9"/>
  <c r="S54" i="9" s="1"/>
  <c r="S58" i="9" s="1"/>
  <c r="R55" i="9"/>
  <c r="R54" i="9" s="1"/>
  <c r="R58" i="9" s="1"/>
  <c r="AE55" i="9"/>
  <c r="AE54" i="9" s="1"/>
  <c r="AE58" i="9" s="1"/>
  <c r="L55" i="9"/>
  <c r="L54" i="9" s="1"/>
  <c r="L58" i="9" s="1"/>
  <c r="AD55" i="9"/>
  <c r="AD54" i="9" s="1"/>
  <c r="AD58" i="9" s="1"/>
  <c r="AJ55" i="5"/>
  <c r="AJ54" i="5" s="1"/>
  <c r="AJ58" i="5" s="1"/>
  <c r="AJ67" i="5" s="1"/>
  <c r="M55" i="5"/>
  <c r="M54" i="5" s="1"/>
  <c r="M58" i="5" s="1"/>
  <c r="M67" i="5" s="1"/>
  <c r="Y55" i="5"/>
  <c r="Y54" i="5" s="1"/>
  <c r="Y58" i="5" s="1"/>
  <c r="Y67" i="5" s="1"/>
  <c r="AA55" i="5"/>
  <c r="AA54" i="5" s="1"/>
  <c r="AA58" i="5" s="1"/>
  <c r="AA67" i="5" s="1"/>
  <c r="P55" i="5"/>
  <c r="P54" i="5" s="1"/>
  <c r="P58" i="5" s="1"/>
  <c r="P67" i="5" s="1"/>
  <c r="H55" i="5"/>
  <c r="H54" i="5" s="1"/>
  <c r="H58" i="5" s="1"/>
  <c r="H67" i="5" s="1"/>
  <c r="J55" i="5"/>
  <c r="J54" i="5" s="1"/>
  <c r="J58" i="5" s="1"/>
  <c r="J67" i="5" s="1"/>
  <c r="N55" i="5"/>
  <c r="N54" i="5" s="1"/>
  <c r="N58" i="5" s="1"/>
  <c r="N67" i="5" s="1"/>
  <c r="O55" i="5"/>
  <c r="O54" i="5" s="1"/>
  <c r="O58" i="5" s="1"/>
  <c r="O67" i="5" s="1"/>
  <c r="AE55" i="5"/>
  <c r="AE54" i="5" s="1"/>
  <c r="AE58" i="5" s="1"/>
  <c r="AE67" i="5" s="1"/>
  <c r="I55" i="5"/>
  <c r="I54" i="5" s="1"/>
  <c r="I58" i="5" s="1"/>
  <c r="I67" i="5" s="1"/>
  <c r="AB55" i="5"/>
  <c r="AB54" i="5" s="1"/>
  <c r="AB58" i="5" s="1"/>
  <c r="AB67" i="5" s="1"/>
  <c r="AC55" i="5"/>
  <c r="AC54" i="5" s="1"/>
  <c r="AC58" i="5" s="1"/>
  <c r="AC67" i="5" s="1"/>
  <c r="Z55" i="5"/>
  <c r="Z54" i="5" s="1"/>
  <c r="Z58" i="5" s="1"/>
  <c r="Z67" i="5" s="1"/>
  <c r="AD55" i="5"/>
  <c r="AD54" i="5" s="1"/>
  <c r="AD58" i="5" s="1"/>
  <c r="AD67" i="5" s="1"/>
  <c r="W55" i="5"/>
  <c r="W54" i="5" s="1"/>
  <c r="W58" i="5" s="1"/>
  <c r="W67" i="5" s="1"/>
  <c r="AG55" i="5"/>
  <c r="AG54" i="5" s="1"/>
  <c r="AG58" i="5" s="1"/>
  <c r="AG67" i="5" s="1"/>
  <c r="AL55" i="5"/>
  <c r="AL54" i="5" s="1"/>
  <c r="AL58" i="5" s="1"/>
  <c r="AL67" i="5" s="1"/>
  <c r="AH55" i="5"/>
  <c r="AH54" i="5" s="1"/>
  <c r="AH58" i="5" s="1"/>
  <c r="AH67" i="5" s="1"/>
  <c r="D53" i="5"/>
  <c r="L55" i="5"/>
  <c r="L54" i="5" s="1"/>
  <c r="L58" i="5" s="1"/>
  <c r="L67" i="5" s="1"/>
  <c r="U55" i="5"/>
  <c r="U54" i="5" s="1"/>
  <c r="U58" i="5" s="1"/>
  <c r="U67" i="5" s="1"/>
  <c r="K55" i="5"/>
  <c r="K54" i="5" s="1"/>
  <c r="K58" i="5" s="1"/>
  <c r="K67" i="5" s="1"/>
  <c r="AI55" i="5"/>
  <c r="AI54" i="5" s="1"/>
  <c r="AI58" i="5" s="1"/>
  <c r="AI67" i="5" s="1"/>
  <c r="AK55" i="5"/>
  <c r="AK54" i="5" s="1"/>
  <c r="AK58" i="5" s="1"/>
  <c r="AK67" i="5" s="1"/>
  <c r="Q55" i="5"/>
  <c r="Q54" i="5" s="1"/>
  <c r="Q58" i="5" s="1"/>
  <c r="Q67" i="5" s="1"/>
  <c r="V55" i="5"/>
  <c r="V54" i="5" s="1"/>
  <c r="V58" i="5" s="1"/>
  <c r="V67" i="5" s="1"/>
  <c r="X55" i="5"/>
  <c r="X54" i="5" s="1"/>
  <c r="X58" i="5" s="1"/>
  <c r="X67" i="5" s="1"/>
  <c r="R55" i="5"/>
  <c r="R54" i="5" s="1"/>
  <c r="R58" i="5" s="1"/>
  <c r="R67" i="5" s="1"/>
  <c r="T55" i="5"/>
  <c r="T54" i="5" s="1"/>
  <c r="T58" i="5" s="1"/>
  <c r="T67" i="5" s="1"/>
  <c r="S55" i="5"/>
  <c r="S54" i="5" s="1"/>
  <c r="S58" i="5" s="1"/>
  <c r="S67" i="5" s="1"/>
  <c r="F67" i="5"/>
  <c r="G54" i="5"/>
  <c r="D52" i="5"/>
  <c r="F44" i="3"/>
  <c r="D64" i="3"/>
  <c r="D64" i="2"/>
  <c r="E67" i="2"/>
  <c r="AF46" i="2"/>
  <c r="AF45" i="2" s="1"/>
  <c r="AF59" i="2" s="1"/>
  <c r="AF68" i="2" s="1"/>
  <c r="V46" i="2"/>
  <c r="V45" i="2" s="1"/>
  <c r="V59" i="2" s="1"/>
  <c r="V68" i="2" s="1"/>
  <c r="L46" i="2"/>
  <c r="L45" i="2" s="1"/>
  <c r="L59" i="2" s="1"/>
  <c r="L68" i="2" s="1"/>
  <c r="F37" i="2"/>
  <c r="AE46" i="2"/>
  <c r="AE45" i="2" s="1"/>
  <c r="AE59" i="2" s="1"/>
  <c r="AE68" i="2" s="1"/>
  <c r="U46" i="2"/>
  <c r="U45" i="2" s="1"/>
  <c r="U59" i="2" s="1"/>
  <c r="U68" i="2" s="1"/>
  <c r="K46" i="2"/>
  <c r="K45" i="2" s="1"/>
  <c r="K59" i="2" s="1"/>
  <c r="K68" i="2" s="1"/>
  <c r="AD46" i="2"/>
  <c r="AD45" i="2" s="1"/>
  <c r="AD59" i="2" s="1"/>
  <c r="AD68" i="2" s="1"/>
  <c r="T46" i="2"/>
  <c r="T45" i="2" s="1"/>
  <c r="T59" i="2" s="1"/>
  <c r="T68" i="2" s="1"/>
  <c r="J46" i="2"/>
  <c r="J45" i="2" s="1"/>
  <c r="J59" i="2" s="1"/>
  <c r="J68" i="2" s="1"/>
  <c r="AC46" i="2"/>
  <c r="AC45" i="2" s="1"/>
  <c r="AC59" i="2" s="1"/>
  <c r="AC68" i="2" s="1"/>
  <c r="S46" i="2"/>
  <c r="S45" i="2" s="1"/>
  <c r="S59" i="2" s="1"/>
  <c r="S68" i="2" s="1"/>
  <c r="I46" i="2"/>
  <c r="I45" i="2" s="1"/>
  <c r="I59" i="2" s="1"/>
  <c r="I68" i="2" s="1"/>
  <c r="AJ46" i="2"/>
  <c r="AJ45" i="2" s="1"/>
  <c r="AJ59" i="2" s="1"/>
  <c r="AJ68" i="2" s="1"/>
  <c r="Z46" i="2"/>
  <c r="Z45" i="2" s="1"/>
  <c r="Z59" i="2" s="1"/>
  <c r="Z68" i="2" s="1"/>
  <c r="P46" i="2"/>
  <c r="P45" i="2" s="1"/>
  <c r="P59" i="2" s="1"/>
  <c r="P68" i="2" s="1"/>
  <c r="AI46" i="2"/>
  <c r="AI45" i="2" s="1"/>
  <c r="AI59" i="2" s="1"/>
  <c r="AI68" i="2" s="1"/>
  <c r="Y46" i="2"/>
  <c r="Y45" i="2" s="1"/>
  <c r="Y59" i="2" s="1"/>
  <c r="Y68" i="2" s="1"/>
  <c r="O46" i="2"/>
  <c r="O45" i="2" s="1"/>
  <c r="O59" i="2" s="1"/>
  <c r="O68" i="2" s="1"/>
  <c r="AH46" i="2"/>
  <c r="AH45" i="2" s="1"/>
  <c r="AH59" i="2" s="1"/>
  <c r="AH68" i="2" s="1"/>
  <c r="X46" i="2"/>
  <c r="X45" i="2" s="1"/>
  <c r="X59" i="2" s="1"/>
  <c r="X68" i="2" s="1"/>
  <c r="N46" i="2"/>
  <c r="N45" i="2" s="1"/>
  <c r="N59" i="2" s="1"/>
  <c r="N68" i="2" s="1"/>
  <c r="AG46" i="2"/>
  <c r="AG45" i="2" s="1"/>
  <c r="AG59" i="2" s="1"/>
  <c r="AG68" i="2" s="1"/>
  <c r="W46" i="2"/>
  <c r="W45" i="2" s="1"/>
  <c r="W59" i="2" s="1"/>
  <c r="W68" i="2" s="1"/>
  <c r="M46" i="2"/>
  <c r="M45" i="2" s="1"/>
  <c r="M59" i="2" s="1"/>
  <c r="M68" i="2" s="1"/>
  <c r="R46" i="2"/>
  <c r="R45" i="2" s="1"/>
  <c r="R59" i="2" s="1"/>
  <c r="R68" i="2" s="1"/>
  <c r="Q46" i="2"/>
  <c r="Q45" i="2" s="1"/>
  <c r="Q59" i="2" s="1"/>
  <c r="Q68" i="2" s="1"/>
  <c r="H46" i="2"/>
  <c r="H45" i="2" s="1"/>
  <c r="H59" i="2" s="1"/>
  <c r="H68" i="2" s="1"/>
  <c r="G46" i="2"/>
  <c r="AL46" i="2"/>
  <c r="AL45" i="2" s="1"/>
  <c r="AL59" i="2" s="1"/>
  <c r="AL68" i="2" s="1"/>
  <c r="AA46" i="2"/>
  <c r="AA45" i="2" s="1"/>
  <c r="AA59" i="2" s="1"/>
  <c r="AA68" i="2" s="1"/>
  <c r="AK46" i="2"/>
  <c r="AK45" i="2" s="1"/>
  <c r="AK59" i="2" s="1"/>
  <c r="AK68" i="2" s="1"/>
  <c r="AB46" i="2"/>
  <c r="AB45" i="2" s="1"/>
  <c r="AB59" i="2" s="1"/>
  <c r="AB68" i="2" s="1"/>
  <c r="F38" i="2"/>
  <c r="F59" i="2" l="1"/>
  <c r="AK60" i="9"/>
  <c r="V60" i="9"/>
  <c r="J60" i="9"/>
  <c r="AD60" i="9"/>
  <c r="Y60" i="9"/>
  <c r="W60" i="9"/>
  <c r="X60" i="9"/>
  <c r="AF60" i="9"/>
  <c r="I60" i="9"/>
  <c r="N60" i="9"/>
  <c r="AE60" i="9"/>
  <c r="U60" i="9"/>
  <c r="M60" i="9"/>
  <c r="AL60" i="9"/>
  <c r="AC60" i="9"/>
  <c r="L60" i="9"/>
  <c r="K60" i="9"/>
  <c r="P60" i="9"/>
  <c r="AJ60" i="9"/>
  <c r="H60" i="9"/>
  <c r="S60" i="9"/>
  <c r="Z60" i="9"/>
  <c r="G54" i="9"/>
  <c r="D55" i="9"/>
  <c r="AH60" i="9"/>
  <c r="R60" i="9"/>
  <c r="AG60" i="9"/>
  <c r="Q60" i="9"/>
  <c r="AB60" i="9"/>
  <c r="T60" i="9"/>
  <c r="AI60" i="9"/>
  <c r="AA60" i="9"/>
  <c r="O60" i="9"/>
  <c r="D55" i="5"/>
  <c r="D54" i="5"/>
  <c r="G58" i="5"/>
  <c r="G67" i="5" s="1"/>
  <c r="D67" i="5" s="1"/>
  <c r="N13" i="3"/>
  <c r="N12" i="3" s="1"/>
  <c r="D44" i="3"/>
  <c r="D37" i="2"/>
  <c r="B15" i="4" s="1"/>
  <c r="G45" i="2"/>
  <c r="D46" i="2"/>
  <c r="F39" i="2"/>
  <c r="D38" i="2"/>
  <c r="T61" i="9" l="1"/>
  <c r="T64" i="9" s="1"/>
  <c r="T68" i="9"/>
  <c r="Y61" i="9"/>
  <c r="Y64" i="9" s="1"/>
  <c r="I61" i="9"/>
  <c r="I64" i="9" s="1"/>
  <c r="I68" i="9"/>
  <c r="AL61" i="9"/>
  <c r="AL64" i="9" s="1"/>
  <c r="AL68" i="9"/>
  <c r="AH61" i="9"/>
  <c r="AH64" i="9" s="1"/>
  <c r="AD61" i="9"/>
  <c r="AD64" i="9" s="1"/>
  <c r="O61" i="9"/>
  <c r="O64" i="9" s="1"/>
  <c r="J61" i="9"/>
  <c r="J64" i="9" s="1"/>
  <c r="AJ61" i="9"/>
  <c r="AJ64" i="9" s="1"/>
  <c r="AB61" i="9"/>
  <c r="AB64" i="9" s="1"/>
  <c r="U61" i="9"/>
  <c r="U64" i="9" s="1"/>
  <c r="U67" i="9" s="1"/>
  <c r="H61" i="9"/>
  <c r="H64" i="9" s="1"/>
  <c r="H68" i="9"/>
  <c r="AF61" i="9"/>
  <c r="AF64" i="9" s="1"/>
  <c r="AF68" i="9"/>
  <c r="V61" i="9"/>
  <c r="V64" i="9" s="1"/>
  <c r="R61" i="9"/>
  <c r="R64" i="9" s="1"/>
  <c r="AC61" i="9"/>
  <c r="AC64" i="9" s="1"/>
  <c r="Q61" i="9"/>
  <c r="Q64" i="9" s="1"/>
  <c r="P61" i="9"/>
  <c r="P64" i="9" s="1"/>
  <c r="M61" i="9"/>
  <c r="M64" i="9" s="1"/>
  <c r="M68" i="9"/>
  <c r="AA61" i="9"/>
  <c r="AA64" i="9" s="1"/>
  <c r="Z61" i="9"/>
  <c r="Z64" i="9" s="1"/>
  <c r="AI61" i="9"/>
  <c r="AI64" i="9" s="1"/>
  <c r="S61" i="9"/>
  <c r="S64" i="9" s="1"/>
  <c r="L61" i="9"/>
  <c r="L64" i="9" s="1"/>
  <c r="W61" i="9"/>
  <c r="W64" i="9" s="1"/>
  <c r="AK61" i="9"/>
  <c r="AK64" i="9" s="1"/>
  <c r="N61" i="9"/>
  <c r="N64" i="9" s="1"/>
  <c r="D54" i="9"/>
  <c r="G58" i="9"/>
  <c r="AG61" i="9"/>
  <c r="AG64" i="9" s="1"/>
  <c r="K61" i="9"/>
  <c r="K64" i="9" s="1"/>
  <c r="K67" i="9" s="1"/>
  <c r="X61" i="9"/>
  <c r="X64" i="9" s="1"/>
  <c r="AE61" i="9"/>
  <c r="AE64" i="9" s="1"/>
  <c r="D58" i="5"/>
  <c r="T59" i="3"/>
  <c r="T68" i="3" s="1"/>
  <c r="P59" i="3"/>
  <c r="P68" i="3" s="1"/>
  <c r="O59" i="3"/>
  <c r="O68" i="3" s="1"/>
  <c r="J59" i="3"/>
  <c r="J68" i="3" s="1"/>
  <c r="AG59" i="3"/>
  <c r="AG68" i="3" s="1"/>
  <c r="N59" i="3"/>
  <c r="N68" i="3" s="1"/>
  <c r="W59" i="3"/>
  <c r="W68" i="3" s="1"/>
  <c r="AF59" i="3"/>
  <c r="AF68" i="3" s="1"/>
  <c r="S59" i="3"/>
  <c r="S68" i="3" s="1"/>
  <c r="M59" i="3"/>
  <c r="M68" i="3" s="1"/>
  <c r="V59" i="3"/>
  <c r="V68" i="3" s="1"/>
  <c r="AI59" i="3"/>
  <c r="AI68" i="3" s="1"/>
  <c r="H59" i="3"/>
  <c r="H68" i="3" s="1"/>
  <c r="AB59" i="3"/>
  <c r="AB68" i="3" s="1"/>
  <c r="U59" i="3"/>
  <c r="U68" i="3" s="1"/>
  <c r="Y59" i="3"/>
  <c r="Y68" i="3" s="1"/>
  <c r="AJ59" i="3"/>
  <c r="AJ68" i="3" s="1"/>
  <c r="AD59" i="3"/>
  <c r="AD68" i="3" s="1"/>
  <c r="Q59" i="3"/>
  <c r="Q68" i="3" s="1"/>
  <c r="AC59" i="3"/>
  <c r="AC68" i="3" s="1"/>
  <c r="AK59" i="3"/>
  <c r="AK68" i="3" s="1"/>
  <c r="I59" i="3"/>
  <c r="I68" i="3" s="1"/>
  <c r="L59" i="3"/>
  <c r="L68" i="3" s="1"/>
  <c r="AE59" i="3"/>
  <c r="AE68" i="3" s="1"/>
  <c r="AA59" i="3"/>
  <c r="AA68" i="3" s="1"/>
  <c r="R59" i="3"/>
  <c r="R68" i="3" s="1"/>
  <c r="K59" i="3"/>
  <c r="K68" i="3" s="1"/>
  <c r="X59" i="3"/>
  <c r="X68" i="3" s="1"/>
  <c r="Z59" i="3"/>
  <c r="Z68" i="3" s="1"/>
  <c r="AH59" i="3"/>
  <c r="AH68" i="3" s="1"/>
  <c r="AL59" i="3"/>
  <c r="AL68" i="3" s="1"/>
  <c r="D37" i="3"/>
  <c r="C15" i="4" s="1"/>
  <c r="F59" i="3"/>
  <c r="F39" i="3"/>
  <c r="D38" i="3"/>
  <c r="F40" i="2"/>
  <c r="F52" i="2" s="1"/>
  <c r="D39" i="2"/>
  <c r="B11" i="4" s="1"/>
  <c r="B9" i="4" s="1"/>
  <c r="F68" i="2"/>
  <c r="D45" i="2"/>
  <c r="B16" i="4" s="1"/>
  <c r="B13" i="4" s="1"/>
  <c r="G59" i="2"/>
  <c r="G68" i="2" s="1"/>
  <c r="R68" i="9" l="1"/>
  <c r="AE68" i="9"/>
  <c r="Q68" i="9"/>
  <c r="AG68" i="9"/>
  <c r="AK68" i="9"/>
  <c r="AH67" i="9"/>
  <c r="X68" i="9"/>
  <c r="S68" i="9"/>
  <c r="AJ68" i="9"/>
  <c r="P67" i="9"/>
  <c r="O68" i="9"/>
  <c r="AB67" i="9"/>
  <c r="Z68" i="9"/>
  <c r="AG67" i="9"/>
  <c r="V68" i="9"/>
  <c r="J68" i="9"/>
  <c r="Y68" i="9"/>
  <c r="J67" i="9"/>
  <c r="AJ67" i="9"/>
  <c r="R67" i="9"/>
  <c r="AE67" i="9"/>
  <c r="W67" i="9"/>
  <c r="L68" i="9"/>
  <c r="P68" i="9"/>
  <c r="N68" i="9"/>
  <c r="AC68" i="9"/>
  <c r="U68" i="9"/>
  <c r="AL67" i="9"/>
  <c r="V67" i="9"/>
  <c r="Y67" i="9"/>
  <c r="AA67" i="9"/>
  <c r="AF67" i="9"/>
  <c r="AI68" i="9"/>
  <c r="AD68" i="9"/>
  <c r="K68" i="9"/>
  <c r="W68" i="9"/>
  <c r="AA68" i="9"/>
  <c r="AB68" i="9"/>
  <c r="AH68" i="9"/>
  <c r="M67" i="9"/>
  <c r="L67" i="9"/>
  <c r="G60" i="9"/>
  <c r="F60" i="9"/>
  <c r="D58" i="9"/>
  <c r="I67" i="9"/>
  <c r="AI67" i="9"/>
  <c r="S67" i="9"/>
  <c r="N67" i="9"/>
  <c r="O67" i="9"/>
  <c r="Q67" i="9"/>
  <c r="X67" i="9"/>
  <c r="AK67" i="9"/>
  <c r="Z67" i="9"/>
  <c r="AC67" i="9"/>
  <c r="AD67" i="9"/>
  <c r="T67" i="9"/>
  <c r="D46" i="3"/>
  <c r="D45" i="3"/>
  <c r="C16" i="4" s="1"/>
  <c r="C13" i="4" s="1"/>
  <c r="C22" i="4" s="1"/>
  <c r="G59" i="3"/>
  <c r="G68" i="3" s="1"/>
  <c r="F40" i="3"/>
  <c r="F52" i="3" s="1"/>
  <c r="D39" i="3"/>
  <c r="F68" i="3"/>
  <c r="D68" i="2"/>
  <c r="D59" i="2"/>
  <c r="F53" i="2"/>
  <c r="F58" i="2"/>
  <c r="G51" i="2"/>
  <c r="D40" i="2"/>
  <c r="B19" i="4" s="1"/>
  <c r="C6" i="11" l="1"/>
  <c r="C24" i="4"/>
  <c r="F6" i="11" s="1"/>
  <c r="F61" i="9"/>
  <c r="F68" i="9" s="1"/>
  <c r="D60" i="9"/>
  <c r="G61" i="9"/>
  <c r="G64" i="9" s="1"/>
  <c r="D68" i="3"/>
  <c r="D59" i="3"/>
  <c r="F53" i="3"/>
  <c r="F58" i="3" s="1"/>
  <c r="D40" i="3"/>
  <c r="G51" i="3"/>
  <c r="G52" i="2"/>
  <c r="D51" i="2"/>
  <c r="B20" i="4" s="1"/>
  <c r="B18" i="4" s="1"/>
  <c r="B22" i="4" s="1"/>
  <c r="F67" i="2"/>
  <c r="AJ55" i="2"/>
  <c r="AJ54" i="2" s="1"/>
  <c r="AJ58" i="2" s="1"/>
  <c r="AJ67" i="2" s="1"/>
  <c r="Z55" i="2"/>
  <c r="Z54" i="2" s="1"/>
  <c r="Z58" i="2" s="1"/>
  <c r="Z67" i="2" s="1"/>
  <c r="P55" i="2"/>
  <c r="P54" i="2" s="1"/>
  <c r="P58" i="2" s="1"/>
  <c r="P67" i="2" s="1"/>
  <c r="AF55" i="2"/>
  <c r="AF54" i="2" s="1"/>
  <c r="AF58" i="2" s="1"/>
  <c r="AF67" i="2" s="1"/>
  <c r="V55" i="2"/>
  <c r="V54" i="2" s="1"/>
  <c r="V58" i="2" s="1"/>
  <c r="V67" i="2" s="1"/>
  <c r="L55" i="2"/>
  <c r="L54" i="2" s="1"/>
  <c r="L58" i="2" s="1"/>
  <c r="L67" i="2" s="1"/>
  <c r="AE55" i="2"/>
  <c r="AE54" i="2" s="1"/>
  <c r="AE58" i="2" s="1"/>
  <c r="AE67" i="2" s="1"/>
  <c r="U55" i="2"/>
  <c r="U54" i="2" s="1"/>
  <c r="U58" i="2" s="1"/>
  <c r="U67" i="2" s="1"/>
  <c r="K55" i="2"/>
  <c r="K54" i="2" s="1"/>
  <c r="K58" i="2" s="1"/>
  <c r="K67" i="2" s="1"/>
  <c r="AC55" i="2"/>
  <c r="AC54" i="2" s="1"/>
  <c r="AC58" i="2" s="1"/>
  <c r="AC67" i="2" s="1"/>
  <c r="S55" i="2"/>
  <c r="S54" i="2" s="1"/>
  <c r="S58" i="2" s="1"/>
  <c r="S67" i="2" s="1"/>
  <c r="I55" i="2"/>
  <c r="I54" i="2" s="1"/>
  <c r="I58" i="2" s="1"/>
  <c r="I67" i="2" s="1"/>
  <c r="AH55" i="2"/>
  <c r="AH54" i="2" s="1"/>
  <c r="AH58" i="2" s="1"/>
  <c r="AH67" i="2" s="1"/>
  <c r="AG55" i="2"/>
  <c r="AG54" i="2" s="1"/>
  <c r="AG58" i="2" s="1"/>
  <c r="AG67" i="2" s="1"/>
  <c r="D53" i="2"/>
  <c r="X55" i="2"/>
  <c r="X54" i="2" s="1"/>
  <c r="X58" i="2" s="1"/>
  <c r="X67" i="2" s="1"/>
  <c r="W55" i="2"/>
  <c r="W54" i="2" s="1"/>
  <c r="W58" i="2" s="1"/>
  <c r="W67" i="2" s="1"/>
  <c r="N55" i="2"/>
  <c r="N54" i="2" s="1"/>
  <c r="N58" i="2" s="1"/>
  <c r="N67" i="2" s="1"/>
  <c r="M55" i="2"/>
  <c r="M54" i="2" s="1"/>
  <c r="M58" i="2" s="1"/>
  <c r="M67" i="2" s="1"/>
  <c r="AI55" i="2"/>
  <c r="AI54" i="2" s="1"/>
  <c r="AI58" i="2" s="1"/>
  <c r="AI67" i="2" s="1"/>
  <c r="J55" i="2"/>
  <c r="J54" i="2" s="1"/>
  <c r="J58" i="2" s="1"/>
  <c r="J67" i="2" s="1"/>
  <c r="T55" i="2"/>
  <c r="T54" i="2" s="1"/>
  <c r="T58" i="2" s="1"/>
  <c r="T67" i="2" s="1"/>
  <c r="G55" i="2"/>
  <c r="Q55" i="2"/>
  <c r="Q54" i="2" s="1"/>
  <c r="Q58" i="2" s="1"/>
  <c r="Q67" i="2" s="1"/>
  <c r="AK55" i="2"/>
  <c r="AK54" i="2" s="1"/>
  <c r="AK58" i="2" s="1"/>
  <c r="AK67" i="2" s="1"/>
  <c r="AA55" i="2"/>
  <c r="AA54" i="2" s="1"/>
  <c r="AA58" i="2" s="1"/>
  <c r="AA67" i="2" s="1"/>
  <c r="H55" i="2"/>
  <c r="H54" i="2" s="1"/>
  <c r="H58" i="2" s="1"/>
  <c r="H67" i="2" s="1"/>
  <c r="Y55" i="2"/>
  <c r="Y54" i="2" s="1"/>
  <c r="Y58" i="2" s="1"/>
  <c r="Y67" i="2" s="1"/>
  <c r="AL55" i="2"/>
  <c r="AL54" i="2" s="1"/>
  <c r="AL58" i="2" s="1"/>
  <c r="AL67" i="2" s="1"/>
  <c r="R55" i="2"/>
  <c r="R54" i="2" s="1"/>
  <c r="R58" i="2" s="1"/>
  <c r="R67" i="2" s="1"/>
  <c r="AB55" i="2"/>
  <c r="AB54" i="2" s="1"/>
  <c r="AB58" i="2" s="1"/>
  <c r="AB67" i="2" s="1"/>
  <c r="AD55" i="2"/>
  <c r="AD54" i="2" s="1"/>
  <c r="AD58" i="2" s="1"/>
  <c r="AD67" i="2" s="1"/>
  <c r="O55" i="2"/>
  <c r="O54" i="2" s="1"/>
  <c r="O58" i="2" s="1"/>
  <c r="O67" i="2" s="1"/>
  <c r="B6" i="11" l="1"/>
  <c r="B24" i="4"/>
  <c r="E6" i="11" s="1"/>
  <c r="C23" i="4"/>
  <c r="D6" i="11" s="1"/>
  <c r="G68" i="9"/>
  <c r="D68" i="9" s="1"/>
  <c r="H67" i="9"/>
  <c r="F64" i="9"/>
  <c r="G67" i="9" s="1"/>
  <c r="D61" i="9"/>
  <c r="B12" i="10" s="1"/>
  <c r="B9" i="10" s="1"/>
  <c r="G52" i="3"/>
  <c r="D51" i="3"/>
  <c r="F67" i="3"/>
  <c r="AH55" i="3"/>
  <c r="AH54" i="3" s="1"/>
  <c r="AH58" i="3" s="1"/>
  <c r="AH67" i="3" s="1"/>
  <c r="X55" i="3"/>
  <c r="X54" i="3" s="1"/>
  <c r="X58" i="3" s="1"/>
  <c r="X67" i="3" s="1"/>
  <c r="N55" i="3"/>
  <c r="N54" i="3" s="1"/>
  <c r="N58" i="3" s="1"/>
  <c r="N67" i="3" s="1"/>
  <c r="D53" i="3"/>
  <c r="AD55" i="3"/>
  <c r="AD54" i="3" s="1"/>
  <c r="AD58" i="3" s="1"/>
  <c r="AD67" i="3" s="1"/>
  <c r="T55" i="3"/>
  <c r="T54" i="3" s="1"/>
  <c r="T58" i="3" s="1"/>
  <c r="T67" i="3" s="1"/>
  <c r="J55" i="3"/>
  <c r="J54" i="3" s="1"/>
  <c r="J58" i="3" s="1"/>
  <c r="J67" i="3" s="1"/>
  <c r="AG55" i="3"/>
  <c r="AG54" i="3" s="1"/>
  <c r="AG58" i="3" s="1"/>
  <c r="AG67" i="3" s="1"/>
  <c r="AE55" i="3"/>
  <c r="AE54" i="3" s="1"/>
  <c r="AE58" i="3" s="1"/>
  <c r="AE67" i="3" s="1"/>
  <c r="W55" i="3"/>
  <c r="W54" i="3" s="1"/>
  <c r="W58" i="3" s="1"/>
  <c r="W67" i="3" s="1"/>
  <c r="U55" i="3"/>
  <c r="U54" i="3" s="1"/>
  <c r="U58" i="3" s="1"/>
  <c r="U67" i="3" s="1"/>
  <c r="M55" i="3"/>
  <c r="M54" i="3" s="1"/>
  <c r="M58" i="3" s="1"/>
  <c r="M67" i="3" s="1"/>
  <c r="K55" i="3"/>
  <c r="K54" i="3" s="1"/>
  <c r="K58" i="3" s="1"/>
  <c r="K67" i="3" s="1"/>
  <c r="P55" i="3"/>
  <c r="P54" i="3" s="1"/>
  <c r="P58" i="3" s="1"/>
  <c r="P67" i="3" s="1"/>
  <c r="AL55" i="3"/>
  <c r="AL54" i="3" s="1"/>
  <c r="AL58" i="3" s="1"/>
  <c r="AL67" i="3" s="1"/>
  <c r="I55" i="3"/>
  <c r="I54" i="3" s="1"/>
  <c r="I58" i="3" s="1"/>
  <c r="I67" i="3" s="1"/>
  <c r="Z55" i="3"/>
  <c r="Z54" i="3" s="1"/>
  <c r="Z58" i="3" s="1"/>
  <c r="Z67" i="3" s="1"/>
  <c r="AJ55" i="3"/>
  <c r="AJ54" i="3" s="1"/>
  <c r="AJ58" i="3" s="1"/>
  <c r="AJ67" i="3" s="1"/>
  <c r="G55" i="3"/>
  <c r="S55" i="3"/>
  <c r="S54" i="3" s="1"/>
  <c r="S58" i="3" s="1"/>
  <c r="S67" i="3" s="1"/>
  <c r="AC55" i="3"/>
  <c r="AC54" i="3" s="1"/>
  <c r="AC58" i="3" s="1"/>
  <c r="AC67" i="3" s="1"/>
  <c r="Q55" i="3"/>
  <c r="Q54" i="3" s="1"/>
  <c r="Q58" i="3" s="1"/>
  <c r="Q67" i="3" s="1"/>
  <c r="AA55" i="3"/>
  <c r="AA54" i="3" s="1"/>
  <c r="AA58" i="3" s="1"/>
  <c r="AA67" i="3" s="1"/>
  <c r="R55" i="3"/>
  <c r="R54" i="3" s="1"/>
  <c r="R58" i="3" s="1"/>
  <c r="R67" i="3" s="1"/>
  <c r="L55" i="3"/>
  <c r="L54" i="3" s="1"/>
  <c r="L58" i="3" s="1"/>
  <c r="L67" i="3" s="1"/>
  <c r="V55" i="3"/>
  <c r="V54" i="3" s="1"/>
  <c r="V58" i="3" s="1"/>
  <c r="V67" i="3" s="1"/>
  <c r="AK55" i="3"/>
  <c r="AK54" i="3" s="1"/>
  <c r="AK58" i="3" s="1"/>
  <c r="AK67" i="3" s="1"/>
  <c r="Y55" i="3"/>
  <c r="Y54" i="3" s="1"/>
  <c r="Y58" i="3" s="1"/>
  <c r="Y67" i="3" s="1"/>
  <c r="AI55" i="3"/>
  <c r="AI54" i="3" s="1"/>
  <c r="AI58" i="3" s="1"/>
  <c r="AI67" i="3" s="1"/>
  <c r="AF55" i="3"/>
  <c r="AF54" i="3" s="1"/>
  <c r="AF58" i="3" s="1"/>
  <c r="AF67" i="3" s="1"/>
  <c r="O55" i="3"/>
  <c r="O54" i="3" s="1"/>
  <c r="O58" i="3" s="1"/>
  <c r="O67" i="3" s="1"/>
  <c r="H55" i="3"/>
  <c r="H54" i="3" s="1"/>
  <c r="H58" i="3" s="1"/>
  <c r="H67" i="3" s="1"/>
  <c r="AB55" i="3"/>
  <c r="AB54" i="3" s="1"/>
  <c r="AB58" i="3" s="1"/>
  <c r="AB67" i="3" s="1"/>
  <c r="G54" i="2"/>
  <c r="D54" i="2" s="1"/>
  <c r="D55" i="2"/>
  <c r="D52" i="2"/>
  <c r="G58" i="2" l="1"/>
  <c r="G67" i="2" s="1"/>
  <c r="D67" i="2" s="1"/>
  <c r="F67" i="9"/>
  <c r="D67" i="9" s="1"/>
  <c r="D64" i="9"/>
  <c r="B19" i="10" s="1"/>
  <c r="B18" i="10" s="1"/>
  <c r="B22" i="10" s="1"/>
  <c r="D55" i="3"/>
  <c r="G54" i="3"/>
  <c r="D54" i="3" s="1"/>
  <c r="D52" i="3"/>
  <c r="D58" i="2" l="1"/>
  <c r="B24" i="10"/>
  <c r="E8" i="11" s="1"/>
  <c r="B8" i="11"/>
  <c r="C23" i="10"/>
  <c r="D8" i="11" s="1"/>
  <c r="G58" i="3"/>
  <c r="G67" i="3" s="1"/>
  <c r="D67" i="3" s="1"/>
  <c r="D58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tc={0D70E7FE-D475-4347-845E-43B2C294C7CB}</author>
    <author>tc={8644DEEF-6CE5-3D4D-A631-62DDF3474893}</author>
    <author>tc={B8932A0D-98C3-E949-B02A-896D650C5640}</author>
    <author>tc={F151AEAA-192F-5945-8602-226752B030F5}</author>
    <author>tc={5CD47068-C0E5-1F4C-B67B-ECB162FA18B3}</author>
    <author>tc={1997E11D-BB91-464D-87E9-C34838DF48EF}</author>
    <author>tc={68D855F8-8CDA-7B4C-9DCE-FE8126D40627}</author>
    <author>tc={CDFF7167-9A92-1842-BC3E-37D6DD69BCB4}</author>
    <author>tc={C77F4D9B-210E-9E44-A4F6-824038E142D4}</author>
    <author>tc={97CAFA72-D6B4-9542-AC6E-7F5665722F13}</author>
    <author>tc={4EF9607A-0B6E-5F4E-A53B-AA5CA566D3FE}</author>
    <author>tc={3EA157C3-48A2-2646-829E-5CC4C5CEC0AC}</author>
    <author>tc={FA4C4C52-D322-9746-AD6D-04F386D05CAE}</author>
    <author>tc={43DE3B56-7661-FD47-AE3C-5BA86AE4DE1B}</author>
    <author>tc={AD4F22BB-425A-4747-B72C-629C4A87565F}</author>
    <author>tc={2B901A76-51DE-6947-BBF8-CC19A4A005CB}</author>
    <author>tc={C4D7A028-0625-B040-81D3-C229000247BF}</author>
    <author>tc={CBAAD5E9-E495-E84A-8892-CD100B56CE36}</author>
    <author>tc={3620EA12-7F13-294D-ADB6-5F557D7B1CD9}</author>
    <author>tc={BE89EEC9-93C6-E847-B01E-040A91120CA0}</author>
    <author>tc={94D1ACF7-3D81-2545-AF7B-19F14AB3AADC}</author>
    <author>tc={24656377-585D-4B4B-9089-87B6EA6AAB95}</author>
    <author>tc={89CC72A1-CC5B-274F-A005-D7223932273E}</author>
    <author>tc={98D9B7E7-22ED-0A4C-BC57-973AD6EC05D5}</author>
    <author>tc={3C5E6ABA-45F1-1040-A0D9-A21F3B50EB11}</author>
    <author>tc={BC3C4A0A-7307-174B-AFB8-963EDAC2982F}</author>
    <author>tc={BC2A5A4E-A95B-F549-9C1A-6DE661387E93}</author>
    <author>tc={4EA26690-0083-3D4E-B9EF-2D414CC09A43}</author>
    <author>tc={46250898-5C7E-F847-979D-85AAC68ADB07}</author>
    <author>tc={96D12615-D617-8D4A-95B2-F7D13B321B22}</author>
    <author>tc={9D68944C-5BCC-2F47-8C11-65423A70787A}</author>
    <author>tc={D107B79E-423C-8F43-AA41-F96A88606B19}</author>
    <author>tc={8C0D3E1A-1F9F-0440-9B90-793E078B9FAE}</author>
    <author>tc={0DA91D62-F8AA-F041-A27C-055E1A5DE889}</author>
    <author>tc={88789EFB-95F5-594A-9A43-91CB668171F3}</author>
  </authors>
  <commentList>
    <comment ref="I11" authorId="0" shapeId="0" xr:uid="{0D70E7FE-D475-4347-845E-43B2C294C7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Pri modeli vlastnej výstavby sa z dôvodu rozpočítavania nákladov podarí získať dotáciu najviac na úrovni 90% max výšky. Napr. na Muchovom námestí bola dotácia len 1712 eur/m2, max bolo ca 2000</t>
      </text>
    </comment>
    <comment ref="E53" authorId="1" shapeId="0" xr:uid="{8644DEEF-6CE5-3D4D-A631-62DDF3474893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F53" authorId="2" shapeId="0" xr:uid="{B8932A0D-98C3-E949-B02A-896D650C5640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G53" authorId="3" shapeId="0" xr:uid="{F151AEAA-192F-5945-8602-226752B030F5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H53" authorId="4" shapeId="0" xr:uid="{5CD47068-C0E5-1F4C-B67B-ECB162FA18B3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I53" authorId="5" shapeId="0" xr:uid="{1997E11D-BB91-464D-87E9-C34838DF48EF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J53" authorId="6" shapeId="0" xr:uid="{68D855F8-8CDA-7B4C-9DCE-FE8126D40627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K53" authorId="7" shapeId="0" xr:uid="{CDFF7167-9A92-1842-BC3E-37D6DD69BCB4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L53" authorId="8" shapeId="0" xr:uid="{C77F4D9B-210E-9E44-A4F6-824038E142D4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M53" authorId="9" shapeId="0" xr:uid="{97CAFA72-D6B4-9542-AC6E-7F5665722F13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N53" authorId="10" shapeId="0" xr:uid="{4EF9607A-0B6E-5F4E-A53B-AA5CA566D3FE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O53" authorId="11" shapeId="0" xr:uid="{3EA157C3-48A2-2646-829E-5CC4C5CEC0AC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P53" authorId="12" shapeId="0" xr:uid="{FA4C4C52-D322-9746-AD6D-04F386D05CAE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Q53" authorId="13" shapeId="0" xr:uid="{43DE3B56-7661-FD47-AE3C-5BA86AE4DE1B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R53" authorId="14" shapeId="0" xr:uid="{AD4F22BB-425A-4747-B72C-629C4A87565F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S53" authorId="15" shapeId="0" xr:uid="{2B901A76-51DE-6947-BBF8-CC19A4A005CB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T53" authorId="16" shapeId="0" xr:uid="{C4D7A028-0625-B040-81D3-C229000247BF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U53" authorId="17" shapeId="0" xr:uid="{CBAAD5E9-E495-E84A-8892-CD100B56CE36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V53" authorId="18" shapeId="0" xr:uid="{3620EA12-7F13-294D-ADB6-5F557D7B1CD9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W53" authorId="19" shapeId="0" xr:uid="{BE89EEC9-93C6-E847-B01E-040A91120C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X53" authorId="20" shapeId="0" xr:uid="{94D1ACF7-3D81-2545-AF7B-19F14AB3AADC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Y53" authorId="21" shapeId="0" xr:uid="{24656377-585D-4B4B-9089-87B6EA6AAB95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Z53" authorId="22" shapeId="0" xr:uid="{89CC72A1-CC5B-274F-A005-D7223932273E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A53" authorId="23" shapeId="0" xr:uid="{98D9B7E7-22ED-0A4C-BC57-973AD6EC05D5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B53" authorId="24" shapeId="0" xr:uid="{3C5E6ABA-45F1-1040-A0D9-A21F3B50EB11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C53" authorId="25" shapeId="0" xr:uid="{BC3C4A0A-7307-174B-AFB8-963EDAC2982F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D53" authorId="26" shapeId="0" xr:uid="{BC2A5A4E-A95B-F549-9C1A-6DE661387E93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E53" authorId="27" shapeId="0" xr:uid="{4EA26690-0083-3D4E-B9EF-2D414CC09A43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F53" authorId="28" shapeId="0" xr:uid="{46250898-5C7E-F847-979D-85AAC68ADB07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G53" authorId="29" shapeId="0" xr:uid="{96D12615-D617-8D4A-95B2-F7D13B321B22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H53" authorId="30" shapeId="0" xr:uid="{9D68944C-5BCC-2F47-8C11-65423A70787A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I53" authorId="31" shapeId="0" xr:uid="{D107B79E-423C-8F43-AA41-F96A88606B19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J53" authorId="32" shapeId="0" xr:uid="{8C0D3E1A-1F9F-0440-9B90-793E078B9FAE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K53" authorId="33" shapeId="0" xr:uid="{0DA91D62-F8AA-F041-A27C-055E1A5DE889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L53" authorId="34" shapeId="0" xr:uid="{88789EFB-95F5-594A-9A43-91CB668171F3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tc={C2D4D7E9-C428-2649-A69D-606278456C1F}</author>
    <author>tc={F954151E-C9A1-604F-81CB-9D14060B080B}</author>
    <author>tc={29573AA6-9881-C24D-ADEB-0916817B0019}</author>
    <author>tc={22C5C1CD-4042-9C46-8677-A319FF403225}</author>
    <author>tc={75A0E969-609E-7442-BB3A-91742F2FC83B}</author>
    <author>tc={B5506D27-B18C-744D-8197-9361E4A811B0}</author>
    <author>tc={C51D9621-A4BF-5540-935B-6D1C32479689}</author>
    <author>tc={7118B6A6-F0CB-5D4A-9DE7-7CF40C9F36FC}</author>
    <author>tc={4F1500AA-90C6-2C47-A0E1-5E50D7D91B44}</author>
    <author>tc={465CEB48-5566-3A47-BDE5-A30AFADD049F}</author>
    <author>tc={9FD5AAD0-C9D2-944F-9DCF-524CA106936A}</author>
    <author>tc={9C57356F-8083-474D-9C83-B07332243F32}</author>
    <author>tc={B83F67A0-A984-1D46-BC6E-5B7BE80959C2}</author>
    <author>tc={BC628095-7523-8543-B524-763E3C0480C9}</author>
    <author>tc={B09D1CFA-4FEE-F541-B28F-BDB7D3A9E6AF}</author>
    <author>tc={738A7E98-75F5-3E41-8A69-F098AFF1498C}</author>
    <author>tc={4068341F-5CA6-1E4B-8B9B-727D94874B90}</author>
    <author>tc={2409F0DE-F1CB-1841-B506-F3BBBAA45C18}</author>
    <author>tc={80DB4010-5B46-454B-BC54-A7023CB2554F}</author>
    <author>tc={9FE52F59-530C-A24B-9ABE-D07FCBB2F0C9}</author>
    <author>tc={9BD57789-2259-EE48-B470-8D741D0F5B7B}</author>
    <author>tc={3674ED4E-2C3C-FD4C-9BFD-EB1D7CC59FE1}</author>
    <author>tc={7F52CEF0-B084-8040-8EF6-43B566E5263B}</author>
    <author>tc={954F6DCA-6AF4-B443-8CF2-20265ECFD16C}</author>
    <author>tc={8B73038B-BAA5-7D46-BF6D-B2E26519DFC8}</author>
    <author>tc={22280836-4E11-3849-B36C-7951337AB01A}</author>
    <author>tc={84C1CFC2-01C4-F940-9447-AA6591549D0D}</author>
    <author>tc={6DE78BD5-8D40-3D4E-BC07-ECFC384A3625}</author>
    <author>tc={D19102DD-8C00-5346-B7ED-B8C4D15E49D9}</author>
    <author>tc={8446E18A-CA35-E84A-AE11-AF9989AA8A7F}</author>
    <author>tc={00508B7A-756A-454A-AE00-24BBAC7C9693}</author>
    <author>tc={B8DAD3C9-F018-1646-B9FD-2C3388E10556}</author>
    <author>tc={C35365B8-7416-974A-A542-921CF3E7A2B9}</author>
    <author>tc={8E2FB018-6D39-3747-9F5C-56C29D3C5AEB}</author>
    <author>tc={A58C7454-C397-9D40-BBDD-421EEFA1D46F}</author>
  </authors>
  <commentList>
    <comment ref="I11" authorId="0" shapeId="0" xr:uid="{C2D4D7E9-C428-2649-A69D-606278456C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Pri modeli vlastnej výstavby sa z dôvodu rozpočítavania nákladov podarí získať dotáciu najviac na úrovni 90% max výšky. Napr. na Muchovom námestí bola dotácia len 1712 eur/m2, max bolo ca 2000</t>
      </text>
    </comment>
    <comment ref="E53" authorId="1" shapeId="0" xr:uid="{F954151E-C9A1-604F-81CB-9D14060B080B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F53" authorId="2" shapeId="0" xr:uid="{29573AA6-9881-C24D-ADEB-0916817B0019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G53" authorId="3" shapeId="0" xr:uid="{22C5C1CD-4042-9C46-8677-A319FF403225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H53" authorId="4" shapeId="0" xr:uid="{75A0E969-609E-7442-BB3A-91742F2FC83B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I53" authorId="5" shapeId="0" xr:uid="{B5506D27-B18C-744D-8197-9361E4A811B0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J53" authorId="6" shapeId="0" xr:uid="{C51D9621-A4BF-5540-935B-6D1C32479689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K53" authorId="7" shapeId="0" xr:uid="{7118B6A6-F0CB-5D4A-9DE7-7CF40C9F36FC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L53" authorId="8" shapeId="0" xr:uid="{4F1500AA-90C6-2C47-A0E1-5E50D7D91B44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M53" authorId="9" shapeId="0" xr:uid="{465CEB48-5566-3A47-BDE5-A30AFADD049F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N53" authorId="10" shapeId="0" xr:uid="{9FD5AAD0-C9D2-944F-9DCF-524CA106936A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O53" authorId="11" shapeId="0" xr:uid="{9C57356F-8083-474D-9C83-B07332243F32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P53" authorId="12" shapeId="0" xr:uid="{B83F67A0-A984-1D46-BC6E-5B7BE80959C2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Q53" authorId="13" shapeId="0" xr:uid="{BC628095-7523-8543-B524-763E3C0480C9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R53" authorId="14" shapeId="0" xr:uid="{B09D1CFA-4FEE-F541-B28F-BDB7D3A9E6AF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S53" authorId="15" shapeId="0" xr:uid="{738A7E98-75F5-3E41-8A69-F098AFF1498C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T53" authorId="16" shapeId="0" xr:uid="{4068341F-5CA6-1E4B-8B9B-727D94874B90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U53" authorId="17" shapeId="0" xr:uid="{2409F0DE-F1CB-1841-B506-F3BBBAA45C18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V53" authorId="18" shapeId="0" xr:uid="{80DB4010-5B46-454B-BC54-A7023CB2554F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W53" authorId="19" shapeId="0" xr:uid="{9FE52F59-530C-A24B-9ABE-D07FCBB2F0C9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X53" authorId="20" shapeId="0" xr:uid="{9BD57789-2259-EE48-B470-8D741D0F5B7B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Y53" authorId="21" shapeId="0" xr:uid="{3674ED4E-2C3C-FD4C-9BFD-EB1D7CC59FE1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Z53" authorId="22" shapeId="0" xr:uid="{7F52CEF0-B084-8040-8EF6-43B566E5263B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A53" authorId="23" shapeId="0" xr:uid="{954F6DCA-6AF4-B443-8CF2-20265ECFD16C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B53" authorId="24" shapeId="0" xr:uid="{8B73038B-BAA5-7D46-BF6D-B2E26519DFC8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C53" authorId="25" shapeId="0" xr:uid="{22280836-4E11-3849-B36C-7951337AB01A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D53" authorId="26" shapeId="0" xr:uid="{84C1CFC2-01C4-F940-9447-AA6591549D0D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E53" authorId="27" shapeId="0" xr:uid="{6DE78BD5-8D40-3D4E-BC07-ECFC384A3625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F53" authorId="28" shapeId="0" xr:uid="{D19102DD-8C00-5346-B7ED-B8C4D15E49D9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G53" authorId="29" shapeId="0" xr:uid="{8446E18A-CA35-E84A-AE11-AF9989AA8A7F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H53" authorId="30" shapeId="0" xr:uid="{00508B7A-756A-454A-AE00-24BBAC7C9693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I53" authorId="31" shapeId="0" xr:uid="{B8DAD3C9-F018-1646-B9FD-2C3388E10556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J53" authorId="32" shapeId="0" xr:uid="{C35365B8-7416-974A-A542-921CF3E7A2B9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K53" authorId="33" shapeId="0" xr:uid="{8E2FB018-6D39-3747-9F5C-56C29D3C5AEB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L53" authorId="34" shapeId="0" xr:uid="{A58C7454-C397-9D40-BBDD-421EEFA1D46F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tc={4FD88121-FC37-E448-9516-9E4F0DF6AC7B}</author>
    <author>tc={190FA787-DBB4-E147-829F-D9F61E1F6C6A}</author>
    <author>tc={7E1C5341-8E0D-F942-8737-016EBD6D1ECC}</author>
    <author>tc={F207E86D-12B7-5844-90B2-F696EE141509}</author>
    <author>tc={9A01C99A-9700-A844-8EC7-63331BEEC350}</author>
    <author>tc={25111581-54DE-0C4A-A805-1269BAEFAD27}</author>
    <author>tc={D4EA315A-73F9-7E4E-952E-BA2B86F73A65}</author>
    <author>tc={8922FC21-F97F-1C40-953F-E7352B6A9D53}</author>
    <author>tc={69DFDADA-FC44-B949-982D-EB1609EF455E}</author>
    <author>tc={679EC4B4-A6DF-7F40-9884-C633B4B04D24}</author>
    <author>tc={DC7A8393-1F04-1447-A38B-287AB517198B}</author>
    <author>tc={B961BF24-E98D-E044-BDE2-BC123019825C}</author>
    <author>tc={5D28E844-F2D5-EF49-AC74-3BFABCE89293}</author>
    <author>tc={B275460F-5AD4-BD40-A1FE-A35637B7CB62}</author>
    <author>tc={8D61F4DC-1B98-2745-99FB-31EFCF97B7DF}</author>
    <author>tc={E30AB0B1-ADC2-364C-855E-F927F794FD4E}</author>
    <author>tc={8EEA7432-6F9B-284D-B2AF-153BF14B5CC6}</author>
    <author>tc={F7F3CDB7-EBD2-A44E-996A-49D80963CEAF}</author>
    <author>tc={2EE32738-6253-7F49-8B32-41F3950FBCD8}</author>
    <author>tc={05AF2270-145C-1648-9940-9FCE73690FE3}</author>
    <author>tc={0D22EA46-1FF0-5740-B490-222F30C26487}</author>
    <author>tc={496FE903-7DBB-2549-B45E-0877DB1F9F1E}</author>
    <author>tc={A28F62D0-7804-0F49-8594-7CA3413F84A2}</author>
    <author>tc={B8D92C4F-BC53-474D-A7E1-FD24295D4167}</author>
    <author>tc={AFB620C5-823E-2743-8C32-EE70EA9C64D1}</author>
    <author>tc={5C61DA71-388C-114D-ABCE-F4EE72AD35CF}</author>
    <author>tc={9073CA72-4E86-2644-97BA-98CA179F62BD}</author>
    <author>tc={C5E111A8-F0E2-4E4B-8647-304BD787BA71}</author>
    <author>tc={85703EFE-8124-524B-BF4A-18CEE2749F45}</author>
    <author>tc={FC24517B-0CB3-904F-96C3-39CA4CAB3D46}</author>
    <author>tc={8C4D8A27-C493-0445-A9F1-689901BB3B81}</author>
    <author>tc={8D767FBE-A273-9A45-A233-4229FCA0547A}</author>
    <author>tc={7745C6C6-7605-B44F-AD4B-6799C45F3F31}</author>
    <author>tc={25DB142C-4C4C-714A-B7EF-2F4FB0C469DB}</author>
    <author>tc={48BD20D8-1CAC-254B-A1E8-C27550CD7E76}</author>
  </authors>
  <commentList>
    <comment ref="I11" authorId="0" shapeId="0" xr:uid="{4FD88121-FC37-E448-9516-9E4F0DF6AC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Pri modeli vlastnej výstavby sa z dôvodu rozpočítavania nákladov podarí získať dotáciu najviac na úrovni 90% max výšky. Napr. na Muchovom námestí bola dotácia len 1712 eur/m2, max bolo ca 2000</t>
      </text>
    </comment>
    <comment ref="E53" authorId="1" shapeId="0" xr:uid="{190FA787-DBB4-E147-829F-D9F61E1F6C6A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F53" authorId="2" shapeId="0" xr:uid="{7E1C5341-8E0D-F942-8737-016EBD6D1ECC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G53" authorId="3" shapeId="0" xr:uid="{F207E86D-12B7-5844-90B2-F696EE141509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H53" authorId="4" shapeId="0" xr:uid="{9A01C99A-9700-A844-8EC7-63331BEEC350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I53" authorId="5" shapeId="0" xr:uid="{25111581-54DE-0C4A-A805-1269BAEFAD27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J53" authorId="6" shapeId="0" xr:uid="{D4EA315A-73F9-7E4E-952E-BA2B86F73A65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K53" authorId="7" shapeId="0" xr:uid="{8922FC21-F97F-1C40-953F-E7352B6A9D53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L53" authorId="8" shapeId="0" xr:uid="{69DFDADA-FC44-B949-982D-EB1609EF455E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M53" authorId="9" shapeId="0" xr:uid="{679EC4B4-A6DF-7F40-9884-C633B4B04D24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N53" authorId="10" shapeId="0" xr:uid="{DC7A8393-1F04-1447-A38B-287AB517198B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O53" authorId="11" shapeId="0" xr:uid="{B961BF24-E98D-E044-BDE2-BC123019825C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P53" authorId="12" shapeId="0" xr:uid="{5D28E844-F2D5-EF49-AC74-3BFABCE89293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Q53" authorId="13" shapeId="0" xr:uid="{B275460F-5AD4-BD40-A1FE-A35637B7CB62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R53" authorId="14" shapeId="0" xr:uid="{8D61F4DC-1B98-2745-99FB-31EFCF97B7DF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S53" authorId="15" shapeId="0" xr:uid="{E30AB0B1-ADC2-364C-855E-F927F794FD4E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T53" authorId="16" shapeId="0" xr:uid="{8EEA7432-6F9B-284D-B2AF-153BF14B5CC6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U53" authorId="17" shapeId="0" xr:uid="{F7F3CDB7-EBD2-A44E-996A-49D80963CEAF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V53" authorId="18" shapeId="0" xr:uid="{2EE32738-6253-7F49-8B32-41F3950FBCD8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W53" authorId="19" shapeId="0" xr:uid="{05AF2270-145C-1648-9940-9FCE73690FE3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X53" authorId="20" shapeId="0" xr:uid="{0D22EA46-1FF0-5740-B490-222F30C26487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Y53" authorId="21" shapeId="0" xr:uid="{496FE903-7DBB-2549-B45E-0877DB1F9F1E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Z53" authorId="22" shapeId="0" xr:uid="{A28F62D0-7804-0F49-8594-7CA3413F84A2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A53" authorId="23" shapeId="0" xr:uid="{B8D92C4F-BC53-474D-A7E1-FD24295D4167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B53" authorId="24" shapeId="0" xr:uid="{AFB620C5-823E-2743-8C32-EE70EA9C64D1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C53" authorId="25" shapeId="0" xr:uid="{5C61DA71-388C-114D-ABCE-F4EE72AD35CF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D53" authorId="26" shapeId="0" xr:uid="{9073CA72-4E86-2644-97BA-98CA179F62BD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E53" authorId="27" shapeId="0" xr:uid="{C5E111A8-F0E2-4E4B-8647-304BD787BA71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F53" authorId="28" shapeId="0" xr:uid="{85703EFE-8124-524B-BF4A-18CEE2749F45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G53" authorId="29" shapeId="0" xr:uid="{FC24517B-0CB3-904F-96C3-39CA4CAB3D46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H53" authorId="30" shapeId="0" xr:uid="{8C4D8A27-C493-0445-A9F1-689901BB3B81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I53" authorId="31" shapeId="0" xr:uid="{8D767FBE-A273-9A45-A233-4229FCA0547A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J53" authorId="32" shapeId="0" xr:uid="{7745C6C6-7605-B44F-AD4B-6799C45F3F31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K53" authorId="33" shapeId="0" xr:uid="{25DB142C-4C4C-714A-B7EF-2F4FB0C469DB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L53" authorId="34" shapeId="0" xr:uid="{48BD20D8-1CAC-254B-A1E8-C27550CD7E76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tc={BD85C23D-33CD-1A47-9040-79A9B35D8F22}</author>
    <author>tc={5323B0AE-C394-974F-8C86-B408C4D309F5}</author>
    <author>tc={9D9F7284-2358-3D4F-B98C-EDE123EFACED}</author>
    <author>tc={A9E0832F-73CA-CA44-A094-FECCB3BDCE62}</author>
    <author>tc={B5DA97BF-E59F-9A49-9F99-3EF51C65ED67}</author>
    <author>tc={1E6E169D-4DA1-7D45-819E-F4D3708C859E}</author>
    <author>tc={DF4A7B0D-928F-4A43-9A4D-055482C9728E}</author>
    <author>tc={52DDB596-A76B-5D48-BEEE-E97274B32CBB}</author>
    <author>tc={A816A709-334D-5048-95DE-940E3E58AFA6}</author>
    <author>tc={31240A79-3415-0F44-9762-90FA7C6D8058}</author>
    <author>tc={195EE6E7-DC91-5545-A56C-2D602CB6DB3A}</author>
    <author>tc={0587842F-2B39-6248-BC0C-45DFB049568D}</author>
    <author>tc={889047C4-E5F9-8E48-90C4-9A968D3F6176}</author>
    <author>tc={EF653D46-0FFB-E84C-BC47-90461163B042}</author>
    <author>tc={31F9EF17-6AC2-7B45-B38C-AE10AE0DCF82}</author>
    <author>tc={C7E7EC7D-23B7-BB49-BCC8-3AF857C8BD92}</author>
    <author>tc={4AF1F77D-2405-A244-B565-093CE89D1D5B}</author>
    <author>tc={12462AE9-86F1-C24D-AEC6-7F202972E93C}</author>
    <author>tc={E0DD8755-837E-4348-990F-7581744D8DE3}</author>
    <author>tc={FFFCD344-1C73-A841-A2DB-001212E5CEA1}</author>
    <author>tc={43DF7E9E-0DBF-5A41-92FD-8330DCA8D342}</author>
    <author>tc={65720B91-3F10-0D46-9BF8-435CD0EC28E2}</author>
    <author>tc={98F18A13-E8B5-BE48-B526-D04F47124115}</author>
    <author>tc={EAD6F5F1-4F2F-AF46-8D0C-DA8703599120}</author>
    <author>tc={536CCB36-2FC4-6146-86EF-ADF57D6EF17B}</author>
    <author>tc={00BFB80D-F9A7-C84D-9BB9-CA38FE88A325}</author>
    <author>tc={5FD308BF-94F7-0945-8A2A-6664E98CA6FE}</author>
    <author>tc={10EE2B22-3182-B746-97FA-04C8313AC719}</author>
    <author>tc={05D38D1D-EC40-DA4F-AAFF-845F3928B294}</author>
    <author>tc={9655DCFE-F7AD-8E4B-B9F0-F7F84BE14EFC}</author>
    <author>tc={B913C642-B128-7E4A-83A5-EEE7537F1305}</author>
    <author>tc={146B80D2-9443-BD4B-8B04-BB4A712C815C}</author>
    <author>tc={8586D499-27F6-CD46-BB51-B7027F5DD8CF}</author>
    <author>tc={FC9ED0C9-623F-5147-AC9A-EF20F9DC73BF}</author>
    <author>tc={95E1A79E-8B8F-7A47-A78F-F957FA4D1C68}</author>
  </authors>
  <commentList>
    <comment ref="I11" authorId="0" shapeId="0" xr:uid="{BD85C23D-33CD-1A47-9040-79A9B35D8F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Pri modeli vlastnej výstavby sa z dôvodu rozpočítavania nákladov podarí získať dotáciu najviac na úrovni 90% max výšky. Napr. na Muchovom námestí bola dotácia len 1712 eur/m2, max bolo ca 2000</t>
      </text>
    </comment>
    <comment ref="E53" authorId="1" shapeId="0" xr:uid="{5323B0AE-C394-974F-8C86-B408C4D309F5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F53" authorId="2" shapeId="0" xr:uid="{9D9F7284-2358-3D4F-B98C-EDE123EFACED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G53" authorId="3" shapeId="0" xr:uid="{A9E0832F-73CA-CA44-A094-FECCB3BDCE62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H53" authorId="4" shapeId="0" xr:uid="{B5DA97BF-E59F-9A49-9F99-3EF51C65ED67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I53" authorId="5" shapeId="0" xr:uid="{1E6E169D-4DA1-7D45-819E-F4D3708C859E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J53" authorId="6" shapeId="0" xr:uid="{DF4A7B0D-928F-4A43-9A4D-055482C9728E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K53" authorId="7" shapeId="0" xr:uid="{52DDB596-A76B-5D48-BEEE-E97274B32CBB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L53" authorId="8" shapeId="0" xr:uid="{A816A709-334D-5048-95DE-940E3E58AFA6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M53" authorId="9" shapeId="0" xr:uid="{31240A79-3415-0F44-9762-90FA7C6D8058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N53" authorId="10" shapeId="0" xr:uid="{195EE6E7-DC91-5545-A56C-2D602CB6DB3A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O53" authorId="11" shapeId="0" xr:uid="{0587842F-2B39-6248-BC0C-45DFB049568D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P53" authorId="12" shapeId="0" xr:uid="{889047C4-E5F9-8E48-90C4-9A968D3F6176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Q53" authorId="13" shapeId="0" xr:uid="{EF653D46-0FFB-E84C-BC47-90461163B042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R53" authorId="14" shapeId="0" xr:uid="{31F9EF17-6AC2-7B45-B38C-AE10AE0DCF82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S53" authorId="15" shapeId="0" xr:uid="{C7E7EC7D-23B7-BB49-BCC8-3AF857C8BD92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T53" authorId="16" shapeId="0" xr:uid="{4AF1F77D-2405-A244-B565-093CE89D1D5B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U53" authorId="17" shapeId="0" xr:uid="{12462AE9-86F1-C24D-AEC6-7F202972E93C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V53" authorId="18" shapeId="0" xr:uid="{E0DD8755-837E-4348-990F-7581744D8DE3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W53" authorId="19" shapeId="0" xr:uid="{FFFCD344-1C73-A841-A2DB-001212E5CEA1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X53" authorId="20" shapeId="0" xr:uid="{43DF7E9E-0DBF-5A41-92FD-8330DCA8D342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Y53" authorId="21" shapeId="0" xr:uid="{65720B91-3F10-0D46-9BF8-435CD0EC28E2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Z53" authorId="22" shapeId="0" xr:uid="{98F18A13-E8B5-BE48-B526-D04F47124115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A53" authorId="23" shapeId="0" xr:uid="{EAD6F5F1-4F2F-AF46-8D0C-DA8703599120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B53" authorId="24" shapeId="0" xr:uid="{536CCB36-2FC4-6146-86EF-ADF57D6EF17B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C53" authorId="25" shapeId="0" xr:uid="{00BFB80D-F9A7-C84D-9BB9-CA38FE88A325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D53" authorId="26" shapeId="0" xr:uid="{5FD308BF-94F7-0945-8A2A-6664E98CA6FE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E53" authorId="27" shapeId="0" xr:uid="{10EE2B22-3182-B746-97FA-04C8313AC719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F53" authorId="28" shapeId="0" xr:uid="{05D38D1D-EC40-DA4F-AAFF-845F3928B294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G53" authorId="29" shapeId="0" xr:uid="{9655DCFE-F7AD-8E4B-B9F0-F7F84BE14EFC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H53" authorId="30" shapeId="0" xr:uid="{B913C642-B128-7E4A-83A5-EEE7537F1305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I53" authorId="31" shapeId="0" xr:uid="{146B80D2-9443-BD4B-8B04-BB4A712C815C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J53" authorId="32" shapeId="0" xr:uid="{8586D499-27F6-CD46-BB51-B7027F5DD8CF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K53" authorId="33" shapeId="0" xr:uid="{FC9ED0C9-623F-5147-AC9A-EF20F9DC73BF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L53" authorId="34" shapeId="0" xr:uid="{95E1A79E-8B8F-7A47-A78F-F957FA4D1C68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tc={0F4E1D01-C376-4C4A-98B6-1F2E5EFECBFB}</author>
    <author>tc={40A87863-3BC0-1043-AD7F-BB7CD6775938}</author>
    <author>tc={9FE67F20-FE74-BF47-AA93-FC76360DA90A}</author>
    <author>tc={DA1D78B2-F9ED-3D46-BECE-E172F3CAFFEE}</author>
    <author>tc={D17DAD76-FE8D-A94A-A4D9-6936E023A595}</author>
    <author>tc={971C3A0D-80E1-0647-994D-D82DD005F38B}</author>
    <author>tc={E8810143-217C-5844-82C2-6D4BC5E9EC5D}</author>
    <author>tc={E86DB7F7-7BF8-3242-8827-3D5851ED7EE2}</author>
    <author>tc={6D274741-8085-5F4C-98CD-4A9B4D1256F1}</author>
    <author>tc={F41F20D4-AF7F-1540-9ECB-6A6D56822FA4}</author>
    <author>tc={B702AA75-B1BF-514B-BDF4-3A5E1CA0ABBC}</author>
    <author>tc={4B92157F-2C7E-FA42-AF0E-DBDBD9DF7139}</author>
    <author>tc={8A33ABE1-5BE9-2E49-9AB3-3E67C25D168A}</author>
    <author>tc={CA036A19-437C-4B45-AE17-342BD9A6B8B1}</author>
    <author>tc={6C9A36ED-5D53-234B-8888-06B8246C3709}</author>
    <author>tc={E743B2ED-AB2F-EC40-8FEC-E6D8EE0A3EB8}</author>
    <author>tc={69BB7744-5C6C-414B-8935-77EB87D9631D}</author>
    <author>tc={014DDCC9-2007-4748-89ED-D13DBC6C517C}</author>
    <author>tc={92CB34C9-B669-0544-B847-5C1EA233728D}</author>
    <author>tc={2B6FC3AB-926A-C542-B319-894C000251F5}</author>
    <author>tc={4FF24297-F8A0-A54E-9A4B-BD902114AC0E}</author>
    <author>tc={40D6F3AA-1C4B-9D40-BACA-7D506A60C56E}</author>
    <author>tc={15468904-5CF5-994D-8A2F-343F22AD31DF}</author>
    <author>tc={826DF597-D24D-DF4E-85CA-006457BFFCBB}</author>
    <author>tc={8DAD542C-0834-3A49-9911-0DA0926BDD96}</author>
    <author>tc={E0ADE71F-0BC9-8048-BE54-3359D01DBC89}</author>
    <author>tc={953747B2-21E7-1F45-9AD4-D827CF15C413}</author>
    <author>tc={3BDA9CF1-5E0C-D24F-8EE3-01EEDC6D174F}</author>
    <author>tc={0C025D83-4F30-7242-AA24-EC3FACEB883F}</author>
    <author>tc={C79E3E70-0A6F-9044-B8FC-45A1EBE7632D}</author>
    <author>tc={27C38425-94D6-6345-AF9D-E8FF2268277B}</author>
    <author>tc={D0EFF7DD-CA10-C947-B0FE-25B4FB9337F1}</author>
    <author>tc={B6539A5A-E654-5349-BE77-EAF1AC88755B}</author>
    <author>tc={DE6C2BE5-D36D-0C40-A398-658522C4BF98}</author>
    <author>tc={D3029B0D-55E6-9C4A-BE44-BA176DA92789}</author>
  </authors>
  <commentList>
    <comment ref="I11" authorId="0" shapeId="0" xr:uid="{0F4E1D01-C376-4C4A-98B6-1F2E5EFECB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Pri modeli vlastnej výstavby sa z dôvodu rozpočítavania nákladov podarí získať dotáciu najviac na úrovni 90% max výšky. Napr. na Muchovom námestí bola dotácia len 1712 eur/m2, max bolo ca 2000</t>
      </text>
    </comment>
    <comment ref="E53" authorId="1" shapeId="0" xr:uid="{40A87863-3BC0-1043-AD7F-BB7CD6775938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F53" authorId="2" shapeId="0" xr:uid="{9FE67F20-FE74-BF47-AA93-FC76360DA90A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G53" authorId="3" shapeId="0" xr:uid="{DA1D78B2-F9ED-3D46-BECE-E172F3CAFFEE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H53" authorId="4" shapeId="0" xr:uid="{D17DAD76-FE8D-A94A-A4D9-6936E023A595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I53" authorId="5" shapeId="0" xr:uid="{971C3A0D-80E1-0647-994D-D82DD005F38B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J53" authorId="6" shapeId="0" xr:uid="{E8810143-217C-5844-82C2-6D4BC5E9EC5D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K53" authorId="7" shapeId="0" xr:uid="{E86DB7F7-7BF8-3242-8827-3D5851ED7EE2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L53" authorId="8" shapeId="0" xr:uid="{6D274741-8085-5F4C-98CD-4A9B4D1256F1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M53" authorId="9" shapeId="0" xr:uid="{F41F20D4-AF7F-1540-9ECB-6A6D56822FA4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N53" authorId="10" shapeId="0" xr:uid="{B702AA75-B1BF-514B-BDF4-3A5E1CA0ABBC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O53" authorId="11" shapeId="0" xr:uid="{4B92157F-2C7E-FA42-AF0E-DBDBD9DF7139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P53" authorId="12" shapeId="0" xr:uid="{8A33ABE1-5BE9-2E49-9AB3-3E67C25D168A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Q53" authorId="13" shapeId="0" xr:uid="{CA036A19-437C-4B45-AE17-342BD9A6B8B1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R53" authorId="14" shapeId="0" xr:uid="{6C9A36ED-5D53-234B-8888-06B8246C3709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S53" authorId="15" shapeId="0" xr:uid="{E743B2ED-AB2F-EC40-8FEC-E6D8EE0A3EB8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T53" authorId="16" shapeId="0" xr:uid="{69BB7744-5C6C-414B-8935-77EB87D9631D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U53" authorId="17" shapeId="0" xr:uid="{014DDCC9-2007-4748-89ED-D13DBC6C517C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V53" authorId="18" shapeId="0" xr:uid="{92CB34C9-B669-0544-B847-5C1EA233728D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W53" authorId="19" shapeId="0" xr:uid="{2B6FC3AB-926A-C542-B319-894C000251F5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X53" authorId="20" shapeId="0" xr:uid="{4FF24297-F8A0-A54E-9A4B-BD902114AC0E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Y53" authorId="21" shapeId="0" xr:uid="{40D6F3AA-1C4B-9D40-BACA-7D506A60C56E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Z53" authorId="22" shapeId="0" xr:uid="{15468904-5CF5-994D-8A2F-343F22AD31DF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A53" authorId="23" shapeId="0" xr:uid="{826DF597-D24D-DF4E-85CA-006457BFFCBB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B53" authorId="24" shapeId="0" xr:uid="{8DAD542C-0834-3A49-9911-0DA0926BDD96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C53" authorId="25" shapeId="0" xr:uid="{E0ADE71F-0BC9-8048-BE54-3359D01DBC89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D53" authorId="26" shapeId="0" xr:uid="{953747B2-21E7-1F45-9AD4-D827CF15C413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E53" authorId="27" shapeId="0" xr:uid="{3BDA9CF1-5E0C-D24F-8EE3-01EEDC6D174F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F53" authorId="28" shapeId="0" xr:uid="{0C025D83-4F30-7242-AA24-EC3FACEB883F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G53" authorId="29" shapeId="0" xr:uid="{C79E3E70-0A6F-9044-B8FC-45A1EBE7632D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H53" authorId="30" shapeId="0" xr:uid="{27C38425-94D6-6345-AF9D-E8FF2268277B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I53" authorId="31" shapeId="0" xr:uid="{D0EFF7DD-CA10-C947-B0FE-25B4FB9337F1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J53" authorId="32" shapeId="0" xr:uid="{B6539A5A-E654-5349-BE77-EAF1AC88755B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K53" authorId="33" shapeId="0" xr:uid="{DE6C2BE5-D36D-0C40-A398-658522C4BF98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L53" authorId="34" shapeId="0" xr:uid="{D3029B0D-55E6-9C4A-BE44-BA176DA92789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tc={7839C68F-ACBF-C44D-BC68-BC3B2F43FBC9}</author>
    <author>tc={CA9D36AD-25F6-2F40-9F74-AD17E84E9C01}</author>
    <author>tc={12D51F00-FCC2-3448-9B7E-99369C074A3C}</author>
    <author>tc={752A4D82-1369-0143-B689-767999D6BCC7}</author>
    <author>tc={293E5B0E-4D12-B047-97C5-D5E9D1CCD481}</author>
    <author>tc={4FE5B879-AF31-5640-B6C1-0DF2DA03D5F4}</author>
    <author>tc={302773A2-F41D-AC47-8988-BAA9E89AF352}</author>
    <author>tc={80E0F145-7C9D-FE49-A15D-58F86D1BE154}</author>
    <author>tc={1730744F-9A1D-6544-AB9D-764A43AA3341}</author>
    <author>tc={A0750EDA-6BC1-6441-A128-683A341FAC67}</author>
    <author>tc={768E4CD1-386C-7E4E-8254-2951195BCF18}</author>
    <author>tc={045B695D-C15C-9440-AAF3-737E74F98F57}</author>
    <author>tc={D2B8E2AC-3AA4-A949-A43D-0C67069D53E8}</author>
    <author>tc={B72A8BBF-D724-2C40-B5F4-73F4FA989A4D}</author>
    <author>tc={03D5F921-5777-0B44-9AA8-14A93D6AE88E}</author>
    <author>tc={2C66D194-23CA-964B-AFFB-E5A59BEF3DAE}</author>
    <author>tc={0D74A0DF-7B26-7040-8385-9588304A0708}</author>
    <author>tc={EEEAB187-DA19-AB4C-9A3E-B72214BF0EA4}</author>
    <author>tc={CC605947-326F-314C-9165-CDF6B893F5AE}</author>
    <author>tc={C688A6D2-D92C-5248-8D6A-144C2ED9F6ED}</author>
    <author>tc={C90EDBFD-F78F-644A-9B6A-80D62B9894BF}</author>
    <author>tc={C2C97D7E-AECE-4642-9826-82BD5FCE95BD}</author>
    <author>tc={48EFE5E9-C85A-6646-8FCC-43F004FA6D6F}</author>
    <author>tc={FF8C506D-DDBA-F143-B80D-7CA44852EE06}</author>
    <author>tc={8289C8E7-AF87-764C-80AC-8452903BBCB2}</author>
    <author>tc={4B9F15C0-E65B-F948-AD95-9FC349DEEEB7}</author>
    <author>tc={F7874B88-D895-4D45-AF16-0D800102AE91}</author>
    <author>tc={9CF87481-B1DD-9046-97C2-5F258666578F}</author>
    <author>tc={AEAF9281-4FC8-A847-A00C-0DE9EB52EA08}</author>
    <author>tc={CA60BE5A-AA6D-6E4A-877B-D8638D1D9DE3}</author>
    <author>tc={084C89B9-436B-B54B-A700-C3737E2A98C5}</author>
    <author>tc={56DE2EAC-9EE7-0546-B4C7-E4CF202C1F5B}</author>
    <author>tc={1158503B-0BE4-AF48-960F-15CA58611217}</author>
    <author>tc={616B650B-A22E-364E-906B-CC563B74EDD4}</author>
    <author>tc={863FAF6D-1BF4-3540-A0A5-9C7378C8D446}</author>
  </authors>
  <commentList>
    <comment ref="I11" authorId="0" shapeId="0" xr:uid="{7839C68F-ACBF-C44D-BC68-BC3B2F43FB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Pri modeli vlastnej výstavby sa z dôvodu rozpočítavania nákladov podarí získať dotáciu najviac na úrovni 90% max výšky. Napr. na Muchovom námestí bola dotácia len 1712 eur/m2, max bolo ca 2000</t>
      </text>
    </comment>
    <comment ref="E53" authorId="1" shapeId="0" xr:uid="{CA9D36AD-25F6-2F40-9F74-AD17E84E9C01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F53" authorId="2" shapeId="0" xr:uid="{12D51F00-FCC2-3448-9B7E-99369C074A3C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G53" authorId="3" shapeId="0" xr:uid="{752A4D82-1369-0143-B689-767999D6BCC7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H53" authorId="4" shapeId="0" xr:uid="{293E5B0E-4D12-B047-97C5-D5E9D1CCD481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I53" authorId="5" shapeId="0" xr:uid="{4FE5B879-AF31-5640-B6C1-0DF2DA03D5F4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J53" authorId="6" shapeId="0" xr:uid="{302773A2-F41D-AC47-8988-BAA9E89AF352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K53" authorId="7" shapeId="0" xr:uid="{80E0F145-7C9D-FE49-A15D-58F86D1BE154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L53" authorId="8" shapeId="0" xr:uid="{1730744F-9A1D-6544-AB9D-764A43AA3341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M53" authorId="9" shapeId="0" xr:uid="{A0750EDA-6BC1-6441-A128-683A341FAC67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N53" authorId="10" shapeId="0" xr:uid="{768E4CD1-386C-7E4E-8254-2951195BCF18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O53" authorId="11" shapeId="0" xr:uid="{045B695D-C15C-9440-AAF3-737E74F98F57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P53" authorId="12" shapeId="0" xr:uid="{D2B8E2AC-3AA4-A949-A43D-0C67069D53E8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Q53" authorId="13" shapeId="0" xr:uid="{B72A8BBF-D724-2C40-B5F4-73F4FA989A4D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R53" authorId="14" shapeId="0" xr:uid="{03D5F921-5777-0B44-9AA8-14A93D6AE88E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S53" authorId="15" shapeId="0" xr:uid="{2C66D194-23CA-964B-AFFB-E5A59BEF3DAE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T53" authorId="16" shapeId="0" xr:uid="{0D74A0DF-7B26-7040-8385-9588304A0708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U53" authorId="17" shapeId="0" xr:uid="{EEEAB187-DA19-AB4C-9A3E-B72214BF0EA4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V53" authorId="18" shapeId="0" xr:uid="{CC605947-326F-314C-9165-CDF6B893F5AE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W53" authorId="19" shapeId="0" xr:uid="{C688A6D2-D92C-5248-8D6A-144C2ED9F6ED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X53" authorId="20" shapeId="0" xr:uid="{C90EDBFD-F78F-644A-9B6A-80D62B9894BF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Y53" authorId="21" shapeId="0" xr:uid="{C2C97D7E-AECE-4642-9826-82BD5FCE95BD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Z53" authorId="22" shapeId="0" xr:uid="{48EFE5E9-C85A-6646-8FCC-43F004FA6D6F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A53" authorId="23" shapeId="0" xr:uid="{FF8C506D-DDBA-F143-B80D-7CA44852EE06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B53" authorId="24" shapeId="0" xr:uid="{8289C8E7-AF87-764C-80AC-8452903BBCB2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C53" authorId="25" shapeId="0" xr:uid="{4B9F15C0-E65B-F948-AD95-9FC349DEEEB7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D53" authorId="26" shapeId="0" xr:uid="{F7874B88-D895-4D45-AF16-0D800102AE91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E53" authorId="27" shapeId="0" xr:uid="{9CF87481-B1DD-9046-97C2-5F258666578F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F53" authorId="28" shapeId="0" xr:uid="{AEAF9281-4FC8-A847-A00C-0DE9EB52EA08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G53" authorId="29" shapeId="0" xr:uid="{CA60BE5A-AA6D-6E4A-877B-D8638D1D9DE3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H53" authorId="30" shapeId="0" xr:uid="{084C89B9-436B-B54B-A700-C3737E2A98C5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I53" authorId="31" shapeId="0" xr:uid="{56DE2EAC-9EE7-0546-B4C7-E4CF202C1F5B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J53" authorId="32" shapeId="0" xr:uid="{1158503B-0BE4-AF48-960F-15CA58611217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K53" authorId="33" shapeId="0" xr:uid="{616B650B-A22E-364E-906B-CC563B74EDD4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  <comment ref="AL53" authorId="34" shapeId="0" xr:uid="{863FAF6D-1BF4-3540-A0A5-9C7378C8D446}">
      <text>
        <t>[Threaded comment]
Your version of Excel allows you to read this threaded comment; however, any edits to it will get removed if the file is opened in a newer version of Excel. Learn more: https://go.microsoft.com/fwlink/?linkid=870924
Comment:
    Tomuto vzorcu nerozumiem.</t>
      </text>
    </comment>
  </commentList>
</comments>
</file>

<file path=xl/sharedStrings.xml><?xml version="1.0" encoding="utf-8"?>
<sst xmlns="http://schemas.openxmlformats.org/spreadsheetml/2006/main" count="815" uniqueCount="127">
  <si>
    <t>Genericky investicny CF model</t>
  </si>
  <si>
    <t>Na jednom harku aby sa dal lahko kopirovat</t>
  </si>
  <si>
    <t>Predpoklady</t>
  </si>
  <si>
    <t>Nazov projektu</t>
  </si>
  <si>
    <t>Zitavska</t>
  </si>
  <si>
    <t>Pocet bytov (najomne byvanie)</t>
  </si>
  <si>
    <t>Urokova sadzba SFRB</t>
  </si>
  <si>
    <t>Urokova sadzba HMBA</t>
  </si>
  <si>
    <t>Stavebne naklady s DPH</t>
  </si>
  <si>
    <t>Rozloha bytov (najomne byvanie)</t>
  </si>
  <si>
    <t>Maturita SFRB (roky)</t>
  </si>
  <si>
    <t>Maturita HMBA (roky)</t>
  </si>
  <si>
    <t>Aplikovana sadzba DPH pre stavebne naklady</t>
  </si>
  <si>
    <t>Jednotkove naklady bez DPH (eur/m2)</t>
  </si>
  <si>
    <t>Podiel dotacie/SFRB</t>
  </si>
  <si>
    <t>Urokova sadzba BOB</t>
  </si>
  <si>
    <t>Stavebne naklady bez DPH</t>
  </si>
  <si>
    <t>Podiel bytov vhodnych na dotaciu/SFRB</t>
  </si>
  <si>
    <t>Dotacny strop na m2 BOB</t>
  </si>
  <si>
    <t>Maturita BOB (roky, prevadzka)</t>
  </si>
  <si>
    <t>NFA (m2)</t>
  </si>
  <si>
    <t>Dotacny strop na m2 HMBA</t>
  </si>
  <si>
    <t>DPH pre BOB</t>
  </si>
  <si>
    <t>Najomne bytov/mesiac/m2</t>
  </si>
  <si>
    <t>SFRB+dotacia HMBA model</t>
  </si>
  <si>
    <t>Frekvencia CAPEX obnovy</t>
  </si>
  <si>
    <t>Potreba uveru HMBA (HMBA model)</t>
  </si>
  <si>
    <t>DPH pre HMBA</t>
  </si>
  <si>
    <t>Najomne nebytov/mesiac/m2</t>
  </si>
  <si>
    <t>SFRB+dotacia BOB model</t>
  </si>
  <si>
    <t>Percento CAPEX obnovy</t>
  </si>
  <si>
    <t>Potreba uveru HMBA (BOB model)</t>
  </si>
  <si>
    <t>Indexacia najomneho p.a.</t>
  </si>
  <si>
    <t>Fond oprav mesiac/m2</t>
  </si>
  <si>
    <t>Prijem z najomneho 1. rok (vratane fondu oprav, byty)</t>
  </si>
  <si>
    <t>Tvorba fondu na CAPEX opravy</t>
  </si>
  <si>
    <t>Kupna cena od BOBu</t>
  </si>
  <si>
    <t>Trvanie vystavby (roky)</t>
  </si>
  <si>
    <t>Naklady na spravu a prevadkzu s DPH (/m2/rok)</t>
  </si>
  <si>
    <t>Prijem z najomneho 1. rok (vratane fondu oprav, nebyty)</t>
  </si>
  <si>
    <t>Ziskova marza pre BOB</t>
  </si>
  <si>
    <t>Overhead OPEX pre BOB / byt</t>
  </si>
  <si>
    <t>Cashflow</t>
  </si>
  <si>
    <t>Fazovanie vystavby</t>
  </si>
  <si>
    <t>Polozka</t>
  </si>
  <si>
    <t>Vlastnik polozky</t>
  </si>
  <si>
    <t>DPH</t>
  </si>
  <si>
    <t>PV</t>
  </si>
  <si>
    <t>Naklady bez DPH</t>
  </si>
  <si>
    <t>CAPEX vystavba</t>
  </si>
  <si>
    <t>BOB</t>
  </si>
  <si>
    <t>CAPEX obnova</t>
  </si>
  <si>
    <t>HMBA</t>
  </si>
  <si>
    <t>DPH na vstupe</t>
  </si>
  <si>
    <t>Najomne a fond oprav</t>
  </si>
  <si>
    <t>Prijem z najomneho byty</t>
  </si>
  <si>
    <t>Prijem z najomneho nebyty</t>
  </si>
  <si>
    <t>Tvorba fondu oprav na CAPEX</t>
  </si>
  <si>
    <t>Cerpanie fondu oprav na CAPEX</t>
  </si>
  <si>
    <t>Zostatok fondu oprav na CAPEX</t>
  </si>
  <si>
    <t>Financovanie</t>
  </si>
  <si>
    <t>Cerpanie komercneho uveru (bullet)</t>
  </si>
  <si>
    <t>Dotacia SFRB</t>
  </si>
  <si>
    <t>Uver SFRB</t>
  </si>
  <si>
    <t>Uver HMBA</t>
  </si>
  <si>
    <t>Kupa bytov do vlastnictva HMBA</t>
  </si>
  <si>
    <t>Prijem z predaja bytov</t>
  </si>
  <si>
    <t>DPH na vystupe</t>
  </si>
  <si>
    <t>Dlhova sluzba</t>
  </si>
  <si>
    <t>Kapitalizacia urokov komercneho uveru</t>
  </si>
  <si>
    <t>Splatka komercneho uveru</t>
  </si>
  <si>
    <t>Splatka uveru HMBA (istina)</t>
  </si>
  <si>
    <t>Splatka uveru HMBA (uroky)</t>
  </si>
  <si>
    <t>Splatka uveru SFRB (istina)</t>
  </si>
  <si>
    <t>Splatka uveru SFRB (uroky)</t>
  </si>
  <si>
    <t>Prevadzkovy uver BOB (refinanc bulletu)</t>
  </si>
  <si>
    <t>DPH vratka/platba</t>
  </si>
  <si>
    <t xml:space="preserve">Cashflow pocas vystavby </t>
  </si>
  <si>
    <t>Nacerpanie uveru</t>
  </si>
  <si>
    <t>Splatka uveru BOB (istina)</t>
  </si>
  <si>
    <t>Splatka uveru BOB (urok)</t>
  </si>
  <si>
    <t>OPEX</t>
  </si>
  <si>
    <t>Cashflow pred platbou</t>
  </si>
  <si>
    <t>Poplatok za spravu (platba od HMBA)</t>
  </si>
  <si>
    <t>Prijem poplatku za spravu</t>
  </si>
  <si>
    <t>Naklady (udrzba bytov)</t>
  </si>
  <si>
    <t>Naklady (overhead)</t>
  </si>
  <si>
    <t>Cashflow po platbe</t>
  </si>
  <si>
    <t>Relevantny HMBA uver</t>
  </si>
  <si>
    <t>Investor</t>
  </si>
  <si>
    <t>Vystavba BD Zitavska</t>
  </si>
  <si>
    <t>Porovnanie investicie cez BOB a priamo cez HMBA</t>
  </si>
  <si>
    <t>Model BOB</t>
  </si>
  <si>
    <t>Model HMBA</t>
  </si>
  <si>
    <t>CAPEX (vystavba + udrzba)</t>
  </si>
  <si>
    <t>Dotacia a uver SFRB</t>
  </si>
  <si>
    <t>Uvery (bullet aj dlhodoby uver HMBA)</t>
  </si>
  <si>
    <t>Prijmy</t>
  </si>
  <si>
    <t>OPEX (udrba + overhead)</t>
  </si>
  <si>
    <t>Vydavky</t>
  </si>
  <si>
    <t>Cisty financny tok z kupy bytov (HMBA od BOB)</t>
  </si>
  <si>
    <t>Cisty financny tok z poplatku za spravu (HMBA pre BOB)</t>
  </si>
  <si>
    <t>Splatky komercnych uverov/uveru HMBA</t>
  </si>
  <si>
    <t>Splatka SFRB uveru</t>
  </si>
  <si>
    <t>DPH na vstupe/vystupe</t>
  </si>
  <si>
    <t>Vratky DPH</t>
  </si>
  <si>
    <t xml:space="preserve">Cisty prijem z najomneho </t>
  </si>
  <si>
    <t>Cisty financny tok (BOB+HMBA)</t>
  </si>
  <si>
    <t>Sucasne hodnoty financnych tokov</t>
  </si>
  <si>
    <t>Vysledok za konsolidovany celok HMBA</t>
  </si>
  <si>
    <t>Relativna vyhodnost BOB oproti HMBA</t>
  </si>
  <si>
    <t>ROI</t>
  </si>
  <si>
    <t>Antolska</t>
  </si>
  <si>
    <t>Vystavba BD Antolska</t>
  </si>
  <si>
    <t>Vystavba BD Na Vratkach</t>
  </si>
  <si>
    <t>Porovnanie projektov vystavby BD: BOB vs HMBA</t>
  </si>
  <si>
    <t>Vysledky za konsolidovany celok HMBA</t>
  </si>
  <si>
    <t>Projekt</t>
  </si>
  <si>
    <t>Cisty cashflow BOB</t>
  </si>
  <si>
    <t>Cisty cashflow HMBA</t>
  </si>
  <si>
    <t>Relativna vyhodnost BOB</t>
  </si>
  <si>
    <t>ROI BOB</t>
  </si>
  <si>
    <t>ROI HMBA</t>
  </si>
  <si>
    <t>BD Zitavska</t>
  </si>
  <si>
    <t>BD Antolska</t>
  </si>
  <si>
    <t>BD Na Vratkach</t>
  </si>
  <si>
    <t>Spolu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</si>
</sst>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CZK&quot;_-;\-* #,##0.00\ &quot;CZK&quot;_-;_-* &quot;-&quot;??\ &quot;CZK&quot;_-;_-@_-"/>
    <numFmt numFmtId="164" formatCode="_-[$€-2]\ * #,##0.00_-;\-[$€-2]\ * #,##0.00_-;_-[$€-2]\ * &quot;-&quot;??_-;_-@_-"/>
    <numFmt numFmtId="165" formatCode="_-[$€-2]\ * #,##0_-;\-[$€-2]\ * #,##0_-;_-[$€-2]\ * &quot;-&quot;??_-;_-@_-"/>
    <numFmt numFmtId="166" formatCode="0.0%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u/>
      <sz val="12"/>
      <color theme="1"/>
      <name val="Aptos Narrow"/>
      <family val="2"/>
      <scheme val="minor"/>
    </font>
    <font>
      <sz val="12"/>
      <color rgb="FFFA7D00"/>
      <name val="Aptos Narrow"/>
      <scheme val="minor"/>
    </font>
    <font>
      <i/>
      <sz val="12"/>
      <color rgb="FFFA7D00"/>
      <name val="Aptos Narrow"/>
      <scheme val="minor"/>
    </font>
    <font>
      <b/>
      <i/>
      <sz val="12"/>
      <color theme="1"/>
      <name val="Aptos Narrow"/>
      <scheme val="minor"/>
    </font>
    <font>
      <sz val="12"/>
      <color theme="0" tint="-0.499984740745262"/>
      <name val="Aptos Narrow"/>
      <family val="2"/>
      <scheme val="minor"/>
    </font>
    <font>
      <i/>
      <sz val="12"/>
      <color theme="0" tint="-0.499984740745262"/>
      <name val="Aptos Narrow"/>
      <scheme val="minor"/>
    </font>
    <font>
      <sz val="12"/>
      <color theme="0" tint="-0.499984740745262"/>
      <name val="Aptos Narrow"/>
      <scheme val="minor"/>
    </font>
    <font>
      <b/>
      <i/>
      <sz val="12"/>
      <color theme="0" tint="-0.499984740745262"/>
      <name val="Aptos Narrow"/>
      <scheme val="minor"/>
    </font>
    <font>
      <sz val="12"/>
      <color rgb="FFFF000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sz val="10"/>
      <color rgb="FF000000"/>
      <name val="Tahoma"/>
      <family val="2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medium">
        <color indexed="64"/>
      </bottom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1" applyNumberFormat="0" applyAlignment="0" applyProtection="0"/>
    <xf numFmtId="44" fontId="1" fillId="0" borderId="0" applyFont="0" applyFill="0" applyBorder="0" applyAlignment="0" applyProtection="0"/>
    <xf numFmtId="0" fontId="16" fillId="3" borderId="2" applyNumberFormat="0" applyAlignment="0" applyProtection="0"/>
  </cellStyleXfs>
  <cellXfs count="63">
    <xf numFmtId="0" fontId="0" fillId="0" borderId="0" xfId="0"/>
    <xf numFmtId="0" fontId="4" fillId="0" borderId="0" xfId="0" applyFont="1"/>
    <xf numFmtId="0" fontId="5" fillId="0" borderId="0" xfId="0" applyFont="1"/>
    <xf numFmtId="0" fontId="2" fillId="2" borderId="1" xfId="2"/>
    <xf numFmtId="164" fontId="3" fillId="3" borderId="1" xfId="3" applyNumberFormat="1"/>
    <xf numFmtId="164" fontId="2" fillId="2" borderId="1" xfId="2" applyNumberFormat="1"/>
    <xf numFmtId="9" fontId="2" fillId="2" borderId="1" xfId="1" applyFont="1" applyFill="1" applyBorder="1"/>
    <xf numFmtId="0" fontId="0" fillId="0" borderId="0" xfId="0" applyAlignment="1">
      <alignment wrapText="1"/>
    </xf>
    <xf numFmtId="0" fontId="6" fillId="0" borderId="0" xfId="0" applyFont="1"/>
    <xf numFmtId="165" fontId="7" fillId="3" borderId="1" xfId="3" applyNumberFormat="1" applyFont="1"/>
    <xf numFmtId="165" fontId="4" fillId="0" borderId="0" xfId="0" applyNumberFormat="1" applyFont="1"/>
    <xf numFmtId="165" fontId="8" fillId="3" borderId="1" xfId="3" applyNumberFormat="1" applyFont="1"/>
    <xf numFmtId="165" fontId="9" fillId="0" borderId="0" xfId="0" applyNumberFormat="1" applyFont="1"/>
    <xf numFmtId="166" fontId="2" fillId="2" borderId="1" xfId="1" applyNumberFormat="1" applyFont="1" applyFill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165" fontId="11" fillId="0" borderId="0" xfId="0" applyNumberFormat="1" applyFont="1"/>
    <xf numFmtId="165" fontId="11" fillId="3" borderId="1" xfId="3" applyNumberFormat="1" applyFont="1"/>
    <xf numFmtId="165" fontId="13" fillId="0" borderId="0" xfId="0" applyNumberFormat="1" applyFont="1"/>
    <xf numFmtId="3" fontId="14" fillId="0" borderId="0" xfId="0" applyNumberFormat="1" applyFont="1"/>
    <xf numFmtId="0" fontId="14" fillId="0" borderId="0" xfId="0" applyFont="1"/>
    <xf numFmtId="165" fontId="14" fillId="0" borderId="0" xfId="0" applyNumberFormat="1" applyFont="1"/>
    <xf numFmtId="9" fontId="14" fillId="0" borderId="0" xfId="1" applyFont="1"/>
    <xf numFmtId="165" fontId="7" fillId="3" borderId="1" xfId="3" applyNumberFormat="1" applyFont="1" applyAlignment="1">
      <alignment wrapText="1"/>
    </xf>
    <xf numFmtId="0" fontId="15" fillId="0" borderId="0" xfId="0" applyFont="1"/>
    <xf numFmtId="165" fontId="7" fillId="3" borderId="1" xfId="3" applyNumberFormat="1" applyFont="1" applyAlignment="1">
      <alignment horizontal="center"/>
    </xf>
    <xf numFmtId="0" fontId="4" fillId="0" borderId="5" xfId="0" applyFont="1" applyBorder="1"/>
    <xf numFmtId="0" fontId="0" fillId="0" borderId="5" xfId="0" applyBorder="1"/>
    <xf numFmtId="165" fontId="0" fillId="0" borderId="0" xfId="4" applyNumberFormat="1" applyFont="1" applyBorder="1"/>
    <xf numFmtId="165" fontId="0" fillId="0" borderId="6" xfId="4" applyNumberFormat="1" applyFont="1" applyBorder="1"/>
    <xf numFmtId="0" fontId="0" fillId="0" borderId="6" xfId="0" applyBorder="1"/>
    <xf numFmtId="0" fontId="4" fillId="0" borderId="7" xfId="0" applyFont="1" applyBorder="1"/>
    <xf numFmtId="165" fontId="4" fillId="0" borderId="8" xfId="0" applyNumberFormat="1" applyFont="1" applyBorder="1"/>
    <xf numFmtId="165" fontId="4" fillId="0" borderId="9" xfId="0" applyNumberFormat="1" applyFont="1" applyBorder="1"/>
    <xf numFmtId="0" fontId="18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165" fontId="4" fillId="0" borderId="6" xfId="0" applyNumberFormat="1" applyFont="1" applyBorder="1"/>
    <xf numFmtId="165" fontId="4" fillId="0" borderId="0" xfId="4" applyNumberFormat="1" applyFont="1" applyBorder="1"/>
    <xf numFmtId="165" fontId="4" fillId="0" borderId="6" xfId="4" applyNumberFormat="1" applyFont="1" applyBorder="1"/>
    <xf numFmtId="0" fontId="0" fillId="4" borderId="3" xfId="0" applyFill="1" applyBorder="1"/>
    <xf numFmtId="0" fontId="0" fillId="4" borderId="4" xfId="0" applyFill="1" applyBorder="1"/>
    <xf numFmtId="165" fontId="16" fillId="3" borderId="13" xfId="5" applyNumberFormat="1" applyBorder="1"/>
    <xf numFmtId="0" fontId="0" fillId="4" borderId="7" xfId="0" applyFill="1" applyBorder="1"/>
    <xf numFmtId="9" fontId="16" fillId="3" borderId="14" xfId="1" applyFont="1" applyFill="1" applyBorder="1"/>
    <xf numFmtId="9" fontId="16" fillId="3" borderId="15" xfId="1" applyFont="1" applyFill="1" applyBorder="1"/>
    <xf numFmtId="0" fontId="0" fillId="0" borderId="0" xfId="0" applyBorder="1"/>
    <xf numFmtId="165" fontId="16" fillId="3" borderId="0" xfId="5" applyNumberFormat="1" applyBorder="1"/>
    <xf numFmtId="9" fontId="16" fillId="3" borderId="0" xfId="1" applyFont="1" applyFill="1" applyBorder="1"/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19" fillId="0" borderId="5" xfId="0" applyFont="1" applyFill="1" applyBorder="1"/>
    <xf numFmtId="9" fontId="16" fillId="3" borderId="6" xfId="1" applyFont="1" applyFill="1" applyBorder="1"/>
    <xf numFmtId="0" fontId="19" fillId="0" borderId="7" xfId="0" applyFont="1" applyFill="1" applyBorder="1"/>
    <xf numFmtId="165" fontId="16" fillId="3" borderId="8" xfId="5" applyNumberFormat="1" applyBorder="1"/>
    <xf numFmtId="9" fontId="16" fillId="3" borderId="8" xfId="1" applyFont="1" applyFill="1" applyBorder="1"/>
    <xf numFmtId="9" fontId="16" fillId="3" borderId="9" xfId="1" applyFont="1" applyFill="1" applyBorder="1"/>
    <xf numFmtId="0" fontId="4" fillId="0" borderId="10" xfId="0" applyFont="1" applyFill="1" applyBorder="1"/>
    <xf numFmtId="165" fontId="4" fillId="0" borderId="11" xfId="0" applyNumberFormat="1" applyFont="1" applyBorder="1"/>
    <xf numFmtId="0" fontId="0" fillId="0" borderId="11" xfId="0" applyBorder="1"/>
    <xf numFmtId="0" fontId="0" fillId="0" borderId="12" xfId="0" applyBorder="1"/>
  </cellXfs>
  <cellStyles count="6">
    <cellStyle name="Calculation" xfId="3" builtinId="22"/>
    <cellStyle name="Currency" xfId="4" builtinId="4"/>
    <cellStyle name="Input" xfId="2" builtinId="20"/>
    <cellStyle name="Normal" xfId="0" builtinId="0"/>
    <cellStyle name="Output" xfId="5" builtinId="21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ch Juraj, MSc." id="{4C0E2F6E-59B5-4530-9DBB-21B2D9F8A427}" userId="S::juraj.mach@bratislava.sk::e5d139dd-3c37-4ab5-a009-1ac6affd0e13" providerId="AD"/>
</personList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1" dT="2025-10-07T17:03:26.60" personId="{4C0E2F6E-59B5-4530-9DBB-21B2D9F8A427}" id="{0D70E7FE-D475-4347-845E-43B2C294C7CB}">
    <text>Pri modeli vlastnej výstavby sa z dôvodu rozpočítavania nákladov podarí získať dotáciu najviac na úrovni 90% max výšky. Napr. na Muchovom námestí bola dotácia len 1712 eur/m2, max bolo ca 2000</text>
  </threadedComment>
  <threadedComment ref="E53" dT="2025-10-07T16:55:30.01" personId="{4C0E2F6E-59B5-4530-9DBB-21B2D9F8A427}" id="{8644DEEF-6CE5-3D4D-A631-62DDF3474893}">
    <text>Tomuto vzorcu nerozumiem.</text>
  </threadedComment>
  <threadedComment ref="F53" dT="2025-10-07T16:55:30.01" personId="{4C0E2F6E-59B5-4530-9DBB-21B2D9F8A427}" id="{B8932A0D-98C3-E949-B02A-896D650C5640}">
    <text>Tomuto vzorcu nerozumiem.</text>
  </threadedComment>
  <threadedComment ref="G53" dT="2025-10-07T16:55:30.01" personId="{4C0E2F6E-59B5-4530-9DBB-21B2D9F8A427}" id="{F151AEAA-192F-5945-8602-226752B030F5}">
    <text>Tomuto vzorcu nerozumiem.</text>
  </threadedComment>
  <threadedComment ref="H53" dT="2025-10-07T16:55:30.01" personId="{4C0E2F6E-59B5-4530-9DBB-21B2D9F8A427}" id="{5CD47068-C0E5-1F4C-B67B-ECB162FA18B3}">
    <text>Tomuto vzorcu nerozumiem.</text>
  </threadedComment>
  <threadedComment ref="I53" dT="2025-10-07T16:55:30.01" personId="{4C0E2F6E-59B5-4530-9DBB-21B2D9F8A427}" id="{1997E11D-BB91-464D-87E9-C34838DF48EF}">
    <text>Tomuto vzorcu nerozumiem.</text>
  </threadedComment>
  <threadedComment ref="J53" dT="2025-10-07T16:55:30.01" personId="{4C0E2F6E-59B5-4530-9DBB-21B2D9F8A427}" id="{68D855F8-8CDA-7B4C-9DCE-FE8126D40627}">
    <text>Tomuto vzorcu nerozumiem.</text>
  </threadedComment>
  <threadedComment ref="K53" dT="2025-10-07T16:55:30.01" personId="{4C0E2F6E-59B5-4530-9DBB-21B2D9F8A427}" id="{CDFF7167-9A92-1842-BC3E-37D6DD69BCB4}">
    <text>Tomuto vzorcu nerozumiem.</text>
  </threadedComment>
  <threadedComment ref="L53" dT="2025-10-07T16:55:30.01" personId="{4C0E2F6E-59B5-4530-9DBB-21B2D9F8A427}" id="{C77F4D9B-210E-9E44-A4F6-824038E142D4}">
    <text>Tomuto vzorcu nerozumiem.</text>
  </threadedComment>
  <threadedComment ref="M53" dT="2025-10-07T16:55:30.01" personId="{4C0E2F6E-59B5-4530-9DBB-21B2D9F8A427}" id="{97CAFA72-D6B4-9542-AC6E-7F5665722F13}">
    <text>Tomuto vzorcu nerozumiem.</text>
  </threadedComment>
  <threadedComment ref="N53" dT="2025-10-07T16:55:30.01" personId="{4C0E2F6E-59B5-4530-9DBB-21B2D9F8A427}" id="{4EF9607A-0B6E-5F4E-A53B-AA5CA566D3FE}">
    <text>Tomuto vzorcu nerozumiem.</text>
  </threadedComment>
  <threadedComment ref="O53" dT="2025-10-07T16:55:30.01" personId="{4C0E2F6E-59B5-4530-9DBB-21B2D9F8A427}" id="{3EA157C3-48A2-2646-829E-5CC4C5CEC0AC}">
    <text>Tomuto vzorcu nerozumiem.</text>
  </threadedComment>
  <threadedComment ref="P53" dT="2025-10-07T16:55:30.01" personId="{4C0E2F6E-59B5-4530-9DBB-21B2D9F8A427}" id="{FA4C4C52-D322-9746-AD6D-04F386D05CAE}">
    <text>Tomuto vzorcu nerozumiem.</text>
  </threadedComment>
  <threadedComment ref="Q53" dT="2025-10-07T16:55:30.01" personId="{4C0E2F6E-59B5-4530-9DBB-21B2D9F8A427}" id="{43DE3B56-7661-FD47-AE3C-5BA86AE4DE1B}">
    <text>Tomuto vzorcu nerozumiem.</text>
  </threadedComment>
  <threadedComment ref="R53" dT="2025-10-07T16:55:30.01" personId="{4C0E2F6E-59B5-4530-9DBB-21B2D9F8A427}" id="{AD4F22BB-425A-4747-B72C-629C4A87565F}">
    <text>Tomuto vzorcu nerozumiem.</text>
  </threadedComment>
  <threadedComment ref="S53" dT="2025-10-07T16:55:30.01" personId="{4C0E2F6E-59B5-4530-9DBB-21B2D9F8A427}" id="{2B901A76-51DE-6947-BBF8-CC19A4A005CB}">
    <text>Tomuto vzorcu nerozumiem.</text>
  </threadedComment>
  <threadedComment ref="T53" dT="2025-10-07T16:55:30.01" personId="{4C0E2F6E-59B5-4530-9DBB-21B2D9F8A427}" id="{C4D7A028-0625-B040-81D3-C229000247BF}">
    <text>Tomuto vzorcu nerozumiem.</text>
  </threadedComment>
  <threadedComment ref="U53" dT="2025-10-07T16:55:30.01" personId="{4C0E2F6E-59B5-4530-9DBB-21B2D9F8A427}" id="{CBAAD5E9-E495-E84A-8892-CD100B56CE36}">
    <text>Tomuto vzorcu nerozumiem.</text>
  </threadedComment>
  <threadedComment ref="V53" dT="2025-10-07T16:55:30.01" personId="{4C0E2F6E-59B5-4530-9DBB-21B2D9F8A427}" id="{3620EA12-7F13-294D-ADB6-5F557D7B1CD9}">
    <text>Tomuto vzorcu nerozumiem.</text>
  </threadedComment>
  <threadedComment ref="W53" dT="2025-10-07T16:55:30.01" personId="{4C0E2F6E-59B5-4530-9DBB-21B2D9F8A427}" id="{BE89EEC9-93C6-E847-B01E-040A91120CA0}">
    <text>Tomuto vzorcu nerozumiem.</text>
  </threadedComment>
  <threadedComment ref="X53" dT="2025-10-07T16:55:30.01" personId="{4C0E2F6E-59B5-4530-9DBB-21B2D9F8A427}" id="{94D1ACF7-3D81-2545-AF7B-19F14AB3AADC}">
    <text>Tomuto vzorcu nerozumiem.</text>
  </threadedComment>
  <threadedComment ref="Y53" dT="2025-10-07T16:55:30.01" personId="{4C0E2F6E-59B5-4530-9DBB-21B2D9F8A427}" id="{24656377-585D-4B4B-9089-87B6EA6AAB95}">
    <text>Tomuto vzorcu nerozumiem.</text>
  </threadedComment>
  <threadedComment ref="Z53" dT="2025-10-07T16:55:30.01" personId="{4C0E2F6E-59B5-4530-9DBB-21B2D9F8A427}" id="{89CC72A1-CC5B-274F-A005-D7223932273E}">
    <text>Tomuto vzorcu nerozumiem.</text>
  </threadedComment>
  <threadedComment ref="AA53" dT="2025-10-07T16:55:30.01" personId="{4C0E2F6E-59B5-4530-9DBB-21B2D9F8A427}" id="{98D9B7E7-22ED-0A4C-BC57-973AD6EC05D5}">
    <text>Tomuto vzorcu nerozumiem.</text>
  </threadedComment>
  <threadedComment ref="AB53" dT="2025-10-07T16:55:30.01" personId="{4C0E2F6E-59B5-4530-9DBB-21B2D9F8A427}" id="{3C5E6ABA-45F1-1040-A0D9-A21F3B50EB11}">
    <text>Tomuto vzorcu nerozumiem.</text>
  </threadedComment>
  <threadedComment ref="AC53" dT="2025-10-07T16:55:30.01" personId="{4C0E2F6E-59B5-4530-9DBB-21B2D9F8A427}" id="{BC3C4A0A-7307-174B-AFB8-963EDAC2982F}">
    <text>Tomuto vzorcu nerozumiem.</text>
  </threadedComment>
  <threadedComment ref="AD53" dT="2025-10-07T16:55:30.01" personId="{4C0E2F6E-59B5-4530-9DBB-21B2D9F8A427}" id="{BC2A5A4E-A95B-F549-9C1A-6DE661387E93}">
    <text>Tomuto vzorcu nerozumiem.</text>
  </threadedComment>
  <threadedComment ref="AE53" dT="2025-10-07T16:55:30.01" personId="{4C0E2F6E-59B5-4530-9DBB-21B2D9F8A427}" id="{4EA26690-0083-3D4E-B9EF-2D414CC09A43}">
    <text>Tomuto vzorcu nerozumiem.</text>
  </threadedComment>
  <threadedComment ref="AF53" dT="2025-10-07T16:55:30.01" personId="{4C0E2F6E-59B5-4530-9DBB-21B2D9F8A427}" id="{46250898-5C7E-F847-979D-85AAC68ADB07}">
    <text>Tomuto vzorcu nerozumiem.</text>
  </threadedComment>
  <threadedComment ref="AG53" dT="2025-10-07T16:55:30.01" personId="{4C0E2F6E-59B5-4530-9DBB-21B2D9F8A427}" id="{96D12615-D617-8D4A-95B2-F7D13B321B22}">
    <text>Tomuto vzorcu nerozumiem.</text>
  </threadedComment>
  <threadedComment ref="AH53" dT="2025-10-07T16:55:30.01" personId="{4C0E2F6E-59B5-4530-9DBB-21B2D9F8A427}" id="{9D68944C-5BCC-2F47-8C11-65423A70787A}">
    <text>Tomuto vzorcu nerozumiem.</text>
  </threadedComment>
  <threadedComment ref="AI53" dT="2025-10-07T16:55:30.01" personId="{4C0E2F6E-59B5-4530-9DBB-21B2D9F8A427}" id="{D107B79E-423C-8F43-AA41-F96A88606B19}">
    <text>Tomuto vzorcu nerozumiem.</text>
  </threadedComment>
  <threadedComment ref="AJ53" dT="2025-10-07T16:55:30.01" personId="{4C0E2F6E-59B5-4530-9DBB-21B2D9F8A427}" id="{8C0D3E1A-1F9F-0440-9B90-793E078B9FAE}">
    <text>Tomuto vzorcu nerozumiem.</text>
  </threadedComment>
  <threadedComment ref="AK53" dT="2025-10-07T16:55:30.01" personId="{4C0E2F6E-59B5-4530-9DBB-21B2D9F8A427}" id="{0DA91D62-F8AA-F041-A27C-055E1A5DE889}">
    <text>Tomuto vzorcu nerozumiem.</text>
  </threadedComment>
  <threadedComment ref="AL53" dT="2025-10-07T16:55:30.01" personId="{4C0E2F6E-59B5-4530-9DBB-21B2D9F8A427}" id="{88789EFB-95F5-594A-9A43-91CB668171F3}">
    <text>Tomuto vzorcu nerozumiem.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11" dT="2025-10-07T17:03:26.60" personId="{4C0E2F6E-59B5-4530-9DBB-21B2D9F8A427}" id="{C2D4D7E9-C428-2649-A69D-606278456C1F}">
    <text>Pri modeli vlastnej výstavby sa z dôvodu rozpočítavania nákladov podarí získať dotáciu najviac na úrovni 90% max výšky. Napr. na Muchovom námestí bola dotácia len 1712 eur/m2, max bolo ca 2000</text>
  </threadedComment>
  <threadedComment ref="E53" dT="2025-10-07T16:55:30.01" personId="{4C0E2F6E-59B5-4530-9DBB-21B2D9F8A427}" id="{F954151E-C9A1-604F-81CB-9D14060B080B}">
    <text>Tomuto vzorcu nerozumiem.</text>
  </threadedComment>
  <threadedComment ref="F53" dT="2025-10-07T16:55:30.01" personId="{4C0E2F6E-59B5-4530-9DBB-21B2D9F8A427}" id="{29573AA6-9881-C24D-ADEB-0916817B0019}">
    <text>Tomuto vzorcu nerozumiem.</text>
  </threadedComment>
  <threadedComment ref="G53" dT="2025-10-07T16:55:30.01" personId="{4C0E2F6E-59B5-4530-9DBB-21B2D9F8A427}" id="{22C5C1CD-4042-9C46-8677-A319FF403225}">
    <text>Tomuto vzorcu nerozumiem.</text>
  </threadedComment>
  <threadedComment ref="H53" dT="2025-10-07T16:55:30.01" personId="{4C0E2F6E-59B5-4530-9DBB-21B2D9F8A427}" id="{75A0E969-609E-7442-BB3A-91742F2FC83B}">
    <text>Tomuto vzorcu nerozumiem.</text>
  </threadedComment>
  <threadedComment ref="I53" dT="2025-10-07T16:55:30.01" personId="{4C0E2F6E-59B5-4530-9DBB-21B2D9F8A427}" id="{B5506D27-B18C-744D-8197-9361E4A811B0}">
    <text>Tomuto vzorcu nerozumiem.</text>
  </threadedComment>
  <threadedComment ref="J53" dT="2025-10-07T16:55:30.01" personId="{4C0E2F6E-59B5-4530-9DBB-21B2D9F8A427}" id="{C51D9621-A4BF-5540-935B-6D1C32479689}">
    <text>Tomuto vzorcu nerozumiem.</text>
  </threadedComment>
  <threadedComment ref="K53" dT="2025-10-07T16:55:30.01" personId="{4C0E2F6E-59B5-4530-9DBB-21B2D9F8A427}" id="{7118B6A6-F0CB-5D4A-9DE7-7CF40C9F36FC}">
    <text>Tomuto vzorcu nerozumiem.</text>
  </threadedComment>
  <threadedComment ref="L53" dT="2025-10-07T16:55:30.01" personId="{4C0E2F6E-59B5-4530-9DBB-21B2D9F8A427}" id="{4F1500AA-90C6-2C47-A0E1-5E50D7D91B44}">
    <text>Tomuto vzorcu nerozumiem.</text>
  </threadedComment>
  <threadedComment ref="M53" dT="2025-10-07T16:55:30.01" personId="{4C0E2F6E-59B5-4530-9DBB-21B2D9F8A427}" id="{465CEB48-5566-3A47-BDE5-A30AFADD049F}">
    <text>Tomuto vzorcu nerozumiem.</text>
  </threadedComment>
  <threadedComment ref="N53" dT="2025-10-07T16:55:30.01" personId="{4C0E2F6E-59B5-4530-9DBB-21B2D9F8A427}" id="{9FD5AAD0-C9D2-944F-9DCF-524CA106936A}">
    <text>Tomuto vzorcu nerozumiem.</text>
  </threadedComment>
  <threadedComment ref="O53" dT="2025-10-07T16:55:30.01" personId="{4C0E2F6E-59B5-4530-9DBB-21B2D9F8A427}" id="{9C57356F-8083-474D-9C83-B07332243F32}">
    <text>Tomuto vzorcu nerozumiem.</text>
  </threadedComment>
  <threadedComment ref="P53" dT="2025-10-07T16:55:30.01" personId="{4C0E2F6E-59B5-4530-9DBB-21B2D9F8A427}" id="{B83F67A0-A984-1D46-BC6E-5B7BE80959C2}">
    <text>Tomuto vzorcu nerozumiem.</text>
  </threadedComment>
  <threadedComment ref="Q53" dT="2025-10-07T16:55:30.01" personId="{4C0E2F6E-59B5-4530-9DBB-21B2D9F8A427}" id="{BC628095-7523-8543-B524-763E3C0480C9}">
    <text>Tomuto vzorcu nerozumiem.</text>
  </threadedComment>
  <threadedComment ref="R53" dT="2025-10-07T16:55:30.01" personId="{4C0E2F6E-59B5-4530-9DBB-21B2D9F8A427}" id="{B09D1CFA-4FEE-F541-B28F-BDB7D3A9E6AF}">
    <text>Tomuto vzorcu nerozumiem.</text>
  </threadedComment>
  <threadedComment ref="S53" dT="2025-10-07T16:55:30.01" personId="{4C0E2F6E-59B5-4530-9DBB-21B2D9F8A427}" id="{738A7E98-75F5-3E41-8A69-F098AFF1498C}">
    <text>Tomuto vzorcu nerozumiem.</text>
  </threadedComment>
  <threadedComment ref="T53" dT="2025-10-07T16:55:30.01" personId="{4C0E2F6E-59B5-4530-9DBB-21B2D9F8A427}" id="{4068341F-5CA6-1E4B-8B9B-727D94874B90}">
    <text>Tomuto vzorcu nerozumiem.</text>
  </threadedComment>
  <threadedComment ref="U53" dT="2025-10-07T16:55:30.01" personId="{4C0E2F6E-59B5-4530-9DBB-21B2D9F8A427}" id="{2409F0DE-F1CB-1841-B506-F3BBBAA45C18}">
    <text>Tomuto vzorcu nerozumiem.</text>
  </threadedComment>
  <threadedComment ref="V53" dT="2025-10-07T16:55:30.01" personId="{4C0E2F6E-59B5-4530-9DBB-21B2D9F8A427}" id="{80DB4010-5B46-454B-BC54-A7023CB2554F}">
    <text>Tomuto vzorcu nerozumiem.</text>
  </threadedComment>
  <threadedComment ref="W53" dT="2025-10-07T16:55:30.01" personId="{4C0E2F6E-59B5-4530-9DBB-21B2D9F8A427}" id="{9FE52F59-530C-A24B-9ABE-D07FCBB2F0C9}">
    <text>Tomuto vzorcu nerozumiem.</text>
  </threadedComment>
  <threadedComment ref="X53" dT="2025-10-07T16:55:30.01" personId="{4C0E2F6E-59B5-4530-9DBB-21B2D9F8A427}" id="{9BD57789-2259-EE48-B470-8D741D0F5B7B}">
    <text>Tomuto vzorcu nerozumiem.</text>
  </threadedComment>
  <threadedComment ref="Y53" dT="2025-10-07T16:55:30.01" personId="{4C0E2F6E-59B5-4530-9DBB-21B2D9F8A427}" id="{3674ED4E-2C3C-FD4C-9BFD-EB1D7CC59FE1}">
    <text>Tomuto vzorcu nerozumiem.</text>
  </threadedComment>
  <threadedComment ref="Z53" dT="2025-10-07T16:55:30.01" personId="{4C0E2F6E-59B5-4530-9DBB-21B2D9F8A427}" id="{7F52CEF0-B084-8040-8EF6-43B566E5263B}">
    <text>Tomuto vzorcu nerozumiem.</text>
  </threadedComment>
  <threadedComment ref="AA53" dT="2025-10-07T16:55:30.01" personId="{4C0E2F6E-59B5-4530-9DBB-21B2D9F8A427}" id="{954F6DCA-6AF4-B443-8CF2-20265ECFD16C}">
    <text>Tomuto vzorcu nerozumiem.</text>
  </threadedComment>
  <threadedComment ref="AB53" dT="2025-10-07T16:55:30.01" personId="{4C0E2F6E-59B5-4530-9DBB-21B2D9F8A427}" id="{8B73038B-BAA5-7D46-BF6D-B2E26519DFC8}">
    <text>Tomuto vzorcu nerozumiem.</text>
  </threadedComment>
  <threadedComment ref="AC53" dT="2025-10-07T16:55:30.01" personId="{4C0E2F6E-59B5-4530-9DBB-21B2D9F8A427}" id="{22280836-4E11-3849-B36C-7951337AB01A}">
    <text>Tomuto vzorcu nerozumiem.</text>
  </threadedComment>
  <threadedComment ref="AD53" dT="2025-10-07T16:55:30.01" personId="{4C0E2F6E-59B5-4530-9DBB-21B2D9F8A427}" id="{84C1CFC2-01C4-F940-9447-AA6591549D0D}">
    <text>Tomuto vzorcu nerozumiem.</text>
  </threadedComment>
  <threadedComment ref="AE53" dT="2025-10-07T16:55:30.01" personId="{4C0E2F6E-59B5-4530-9DBB-21B2D9F8A427}" id="{6DE78BD5-8D40-3D4E-BC07-ECFC384A3625}">
    <text>Tomuto vzorcu nerozumiem.</text>
  </threadedComment>
  <threadedComment ref="AF53" dT="2025-10-07T16:55:30.01" personId="{4C0E2F6E-59B5-4530-9DBB-21B2D9F8A427}" id="{D19102DD-8C00-5346-B7ED-B8C4D15E49D9}">
    <text>Tomuto vzorcu nerozumiem.</text>
  </threadedComment>
  <threadedComment ref="AG53" dT="2025-10-07T16:55:30.01" personId="{4C0E2F6E-59B5-4530-9DBB-21B2D9F8A427}" id="{8446E18A-CA35-E84A-AE11-AF9989AA8A7F}">
    <text>Tomuto vzorcu nerozumiem.</text>
  </threadedComment>
  <threadedComment ref="AH53" dT="2025-10-07T16:55:30.01" personId="{4C0E2F6E-59B5-4530-9DBB-21B2D9F8A427}" id="{00508B7A-756A-454A-AE00-24BBAC7C9693}">
    <text>Tomuto vzorcu nerozumiem.</text>
  </threadedComment>
  <threadedComment ref="AI53" dT="2025-10-07T16:55:30.01" personId="{4C0E2F6E-59B5-4530-9DBB-21B2D9F8A427}" id="{B8DAD3C9-F018-1646-B9FD-2C3388E10556}">
    <text>Tomuto vzorcu nerozumiem.</text>
  </threadedComment>
  <threadedComment ref="AJ53" dT="2025-10-07T16:55:30.01" personId="{4C0E2F6E-59B5-4530-9DBB-21B2D9F8A427}" id="{C35365B8-7416-974A-A542-921CF3E7A2B9}">
    <text>Tomuto vzorcu nerozumiem.</text>
  </threadedComment>
  <threadedComment ref="AK53" dT="2025-10-07T16:55:30.01" personId="{4C0E2F6E-59B5-4530-9DBB-21B2D9F8A427}" id="{8E2FB018-6D39-3747-9F5C-56C29D3C5AEB}">
    <text>Tomuto vzorcu nerozumiem.</text>
  </threadedComment>
  <threadedComment ref="AL53" dT="2025-10-07T16:55:30.01" personId="{4C0E2F6E-59B5-4530-9DBB-21B2D9F8A427}" id="{A58C7454-C397-9D40-BBDD-421EEFA1D46F}">
    <text>Tomuto vzorcu nerozumiem.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I11" dT="2025-10-07T17:03:26.60" personId="{4C0E2F6E-59B5-4530-9DBB-21B2D9F8A427}" id="{4FD88121-FC37-E448-9516-9E4F0DF6AC7B}">
    <text>Pri modeli vlastnej výstavby sa z dôvodu rozpočítavania nákladov podarí získať dotáciu najviac na úrovni 90% max výšky. Napr. na Muchovom námestí bola dotácia len 1712 eur/m2, max bolo ca 2000</text>
  </threadedComment>
  <threadedComment ref="E53" dT="2025-10-07T16:55:30.01" personId="{4C0E2F6E-59B5-4530-9DBB-21B2D9F8A427}" id="{190FA787-DBB4-E147-829F-D9F61E1F6C6A}">
    <text>Tomuto vzorcu nerozumiem.</text>
  </threadedComment>
  <threadedComment ref="F53" dT="2025-10-07T16:55:30.01" personId="{4C0E2F6E-59B5-4530-9DBB-21B2D9F8A427}" id="{7E1C5341-8E0D-F942-8737-016EBD6D1ECC}">
    <text>Tomuto vzorcu nerozumiem.</text>
  </threadedComment>
  <threadedComment ref="G53" dT="2025-10-07T16:55:30.01" personId="{4C0E2F6E-59B5-4530-9DBB-21B2D9F8A427}" id="{F207E86D-12B7-5844-90B2-F696EE141509}">
    <text>Tomuto vzorcu nerozumiem.</text>
  </threadedComment>
  <threadedComment ref="H53" dT="2025-10-07T16:55:30.01" personId="{4C0E2F6E-59B5-4530-9DBB-21B2D9F8A427}" id="{9A01C99A-9700-A844-8EC7-63331BEEC350}">
    <text>Tomuto vzorcu nerozumiem.</text>
  </threadedComment>
  <threadedComment ref="I53" dT="2025-10-07T16:55:30.01" personId="{4C0E2F6E-59B5-4530-9DBB-21B2D9F8A427}" id="{25111581-54DE-0C4A-A805-1269BAEFAD27}">
    <text>Tomuto vzorcu nerozumiem.</text>
  </threadedComment>
  <threadedComment ref="J53" dT="2025-10-07T16:55:30.01" personId="{4C0E2F6E-59B5-4530-9DBB-21B2D9F8A427}" id="{D4EA315A-73F9-7E4E-952E-BA2B86F73A65}">
    <text>Tomuto vzorcu nerozumiem.</text>
  </threadedComment>
  <threadedComment ref="K53" dT="2025-10-07T16:55:30.01" personId="{4C0E2F6E-59B5-4530-9DBB-21B2D9F8A427}" id="{8922FC21-F97F-1C40-953F-E7352B6A9D53}">
    <text>Tomuto vzorcu nerozumiem.</text>
  </threadedComment>
  <threadedComment ref="L53" dT="2025-10-07T16:55:30.01" personId="{4C0E2F6E-59B5-4530-9DBB-21B2D9F8A427}" id="{69DFDADA-FC44-B949-982D-EB1609EF455E}">
    <text>Tomuto vzorcu nerozumiem.</text>
  </threadedComment>
  <threadedComment ref="M53" dT="2025-10-07T16:55:30.01" personId="{4C0E2F6E-59B5-4530-9DBB-21B2D9F8A427}" id="{679EC4B4-A6DF-7F40-9884-C633B4B04D24}">
    <text>Tomuto vzorcu nerozumiem.</text>
  </threadedComment>
  <threadedComment ref="N53" dT="2025-10-07T16:55:30.01" personId="{4C0E2F6E-59B5-4530-9DBB-21B2D9F8A427}" id="{DC7A8393-1F04-1447-A38B-287AB517198B}">
    <text>Tomuto vzorcu nerozumiem.</text>
  </threadedComment>
  <threadedComment ref="O53" dT="2025-10-07T16:55:30.01" personId="{4C0E2F6E-59B5-4530-9DBB-21B2D9F8A427}" id="{B961BF24-E98D-E044-BDE2-BC123019825C}">
    <text>Tomuto vzorcu nerozumiem.</text>
  </threadedComment>
  <threadedComment ref="P53" dT="2025-10-07T16:55:30.01" personId="{4C0E2F6E-59B5-4530-9DBB-21B2D9F8A427}" id="{5D28E844-F2D5-EF49-AC74-3BFABCE89293}">
    <text>Tomuto vzorcu nerozumiem.</text>
  </threadedComment>
  <threadedComment ref="Q53" dT="2025-10-07T16:55:30.01" personId="{4C0E2F6E-59B5-4530-9DBB-21B2D9F8A427}" id="{B275460F-5AD4-BD40-A1FE-A35637B7CB62}">
    <text>Tomuto vzorcu nerozumiem.</text>
  </threadedComment>
  <threadedComment ref="R53" dT="2025-10-07T16:55:30.01" personId="{4C0E2F6E-59B5-4530-9DBB-21B2D9F8A427}" id="{8D61F4DC-1B98-2745-99FB-31EFCF97B7DF}">
    <text>Tomuto vzorcu nerozumiem.</text>
  </threadedComment>
  <threadedComment ref="S53" dT="2025-10-07T16:55:30.01" personId="{4C0E2F6E-59B5-4530-9DBB-21B2D9F8A427}" id="{E30AB0B1-ADC2-364C-855E-F927F794FD4E}">
    <text>Tomuto vzorcu nerozumiem.</text>
  </threadedComment>
  <threadedComment ref="T53" dT="2025-10-07T16:55:30.01" personId="{4C0E2F6E-59B5-4530-9DBB-21B2D9F8A427}" id="{8EEA7432-6F9B-284D-B2AF-153BF14B5CC6}">
    <text>Tomuto vzorcu nerozumiem.</text>
  </threadedComment>
  <threadedComment ref="U53" dT="2025-10-07T16:55:30.01" personId="{4C0E2F6E-59B5-4530-9DBB-21B2D9F8A427}" id="{F7F3CDB7-EBD2-A44E-996A-49D80963CEAF}">
    <text>Tomuto vzorcu nerozumiem.</text>
  </threadedComment>
  <threadedComment ref="V53" dT="2025-10-07T16:55:30.01" personId="{4C0E2F6E-59B5-4530-9DBB-21B2D9F8A427}" id="{2EE32738-6253-7F49-8B32-41F3950FBCD8}">
    <text>Tomuto vzorcu nerozumiem.</text>
  </threadedComment>
  <threadedComment ref="W53" dT="2025-10-07T16:55:30.01" personId="{4C0E2F6E-59B5-4530-9DBB-21B2D9F8A427}" id="{05AF2270-145C-1648-9940-9FCE73690FE3}">
    <text>Tomuto vzorcu nerozumiem.</text>
  </threadedComment>
  <threadedComment ref="X53" dT="2025-10-07T16:55:30.01" personId="{4C0E2F6E-59B5-4530-9DBB-21B2D9F8A427}" id="{0D22EA46-1FF0-5740-B490-222F30C26487}">
    <text>Tomuto vzorcu nerozumiem.</text>
  </threadedComment>
  <threadedComment ref="Y53" dT="2025-10-07T16:55:30.01" personId="{4C0E2F6E-59B5-4530-9DBB-21B2D9F8A427}" id="{496FE903-7DBB-2549-B45E-0877DB1F9F1E}">
    <text>Tomuto vzorcu nerozumiem.</text>
  </threadedComment>
  <threadedComment ref="Z53" dT="2025-10-07T16:55:30.01" personId="{4C0E2F6E-59B5-4530-9DBB-21B2D9F8A427}" id="{A28F62D0-7804-0F49-8594-7CA3413F84A2}">
    <text>Tomuto vzorcu nerozumiem.</text>
  </threadedComment>
  <threadedComment ref="AA53" dT="2025-10-07T16:55:30.01" personId="{4C0E2F6E-59B5-4530-9DBB-21B2D9F8A427}" id="{B8D92C4F-BC53-474D-A7E1-FD24295D4167}">
    <text>Tomuto vzorcu nerozumiem.</text>
  </threadedComment>
  <threadedComment ref="AB53" dT="2025-10-07T16:55:30.01" personId="{4C0E2F6E-59B5-4530-9DBB-21B2D9F8A427}" id="{AFB620C5-823E-2743-8C32-EE70EA9C64D1}">
    <text>Tomuto vzorcu nerozumiem.</text>
  </threadedComment>
  <threadedComment ref="AC53" dT="2025-10-07T16:55:30.01" personId="{4C0E2F6E-59B5-4530-9DBB-21B2D9F8A427}" id="{5C61DA71-388C-114D-ABCE-F4EE72AD35CF}">
    <text>Tomuto vzorcu nerozumiem.</text>
  </threadedComment>
  <threadedComment ref="AD53" dT="2025-10-07T16:55:30.01" personId="{4C0E2F6E-59B5-4530-9DBB-21B2D9F8A427}" id="{9073CA72-4E86-2644-97BA-98CA179F62BD}">
    <text>Tomuto vzorcu nerozumiem.</text>
  </threadedComment>
  <threadedComment ref="AE53" dT="2025-10-07T16:55:30.01" personId="{4C0E2F6E-59B5-4530-9DBB-21B2D9F8A427}" id="{C5E111A8-F0E2-4E4B-8647-304BD787BA71}">
    <text>Tomuto vzorcu nerozumiem.</text>
  </threadedComment>
  <threadedComment ref="AF53" dT="2025-10-07T16:55:30.01" personId="{4C0E2F6E-59B5-4530-9DBB-21B2D9F8A427}" id="{85703EFE-8124-524B-BF4A-18CEE2749F45}">
    <text>Tomuto vzorcu nerozumiem.</text>
  </threadedComment>
  <threadedComment ref="AG53" dT="2025-10-07T16:55:30.01" personId="{4C0E2F6E-59B5-4530-9DBB-21B2D9F8A427}" id="{FC24517B-0CB3-904F-96C3-39CA4CAB3D46}">
    <text>Tomuto vzorcu nerozumiem.</text>
  </threadedComment>
  <threadedComment ref="AH53" dT="2025-10-07T16:55:30.01" personId="{4C0E2F6E-59B5-4530-9DBB-21B2D9F8A427}" id="{8C4D8A27-C493-0445-A9F1-689901BB3B81}">
    <text>Tomuto vzorcu nerozumiem.</text>
  </threadedComment>
  <threadedComment ref="AI53" dT="2025-10-07T16:55:30.01" personId="{4C0E2F6E-59B5-4530-9DBB-21B2D9F8A427}" id="{8D767FBE-A273-9A45-A233-4229FCA0547A}">
    <text>Tomuto vzorcu nerozumiem.</text>
  </threadedComment>
  <threadedComment ref="AJ53" dT="2025-10-07T16:55:30.01" personId="{4C0E2F6E-59B5-4530-9DBB-21B2D9F8A427}" id="{7745C6C6-7605-B44F-AD4B-6799C45F3F31}">
    <text>Tomuto vzorcu nerozumiem.</text>
  </threadedComment>
  <threadedComment ref="AK53" dT="2025-10-07T16:55:30.01" personId="{4C0E2F6E-59B5-4530-9DBB-21B2D9F8A427}" id="{25DB142C-4C4C-714A-B7EF-2F4FB0C469DB}">
    <text>Tomuto vzorcu nerozumiem.</text>
  </threadedComment>
  <threadedComment ref="AL53" dT="2025-10-07T16:55:30.01" personId="{4C0E2F6E-59B5-4530-9DBB-21B2D9F8A427}" id="{48BD20D8-1CAC-254B-A1E8-C27550CD7E76}">
    <text>Tomuto vzorcu nerozumiem.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I11" dT="2025-10-07T17:03:26.60" personId="{4C0E2F6E-59B5-4530-9DBB-21B2D9F8A427}" id="{BD85C23D-33CD-1A47-9040-79A9B35D8F22}">
    <text>Pri modeli vlastnej výstavby sa z dôvodu rozpočítavania nákladov podarí získať dotáciu najviac na úrovni 90% max výšky. Napr. na Muchovom námestí bola dotácia len 1712 eur/m2, max bolo ca 2000</text>
  </threadedComment>
  <threadedComment ref="E53" dT="2025-10-07T16:55:30.01" personId="{4C0E2F6E-59B5-4530-9DBB-21B2D9F8A427}" id="{5323B0AE-C394-974F-8C86-B408C4D309F5}">
    <text>Tomuto vzorcu nerozumiem.</text>
  </threadedComment>
  <threadedComment ref="F53" dT="2025-10-07T16:55:30.01" personId="{4C0E2F6E-59B5-4530-9DBB-21B2D9F8A427}" id="{9D9F7284-2358-3D4F-B98C-EDE123EFACED}">
    <text>Tomuto vzorcu nerozumiem.</text>
  </threadedComment>
  <threadedComment ref="G53" dT="2025-10-07T16:55:30.01" personId="{4C0E2F6E-59B5-4530-9DBB-21B2D9F8A427}" id="{A9E0832F-73CA-CA44-A094-FECCB3BDCE62}">
    <text>Tomuto vzorcu nerozumiem.</text>
  </threadedComment>
  <threadedComment ref="H53" dT="2025-10-07T16:55:30.01" personId="{4C0E2F6E-59B5-4530-9DBB-21B2D9F8A427}" id="{B5DA97BF-E59F-9A49-9F99-3EF51C65ED67}">
    <text>Tomuto vzorcu nerozumiem.</text>
  </threadedComment>
  <threadedComment ref="I53" dT="2025-10-07T16:55:30.01" personId="{4C0E2F6E-59B5-4530-9DBB-21B2D9F8A427}" id="{1E6E169D-4DA1-7D45-819E-F4D3708C859E}">
    <text>Tomuto vzorcu nerozumiem.</text>
  </threadedComment>
  <threadedComment ref="J53" dT="2025-10-07T16:55:30.01" personId="{4C0E2F6E-59B5-4530-9DBB-21B2D9F8A427}" id="{DF4A7B0D-928F-4A43-9A4D-055482C9728E}">
    <text>Tomuto vzorcu nerozumiem.</text>
  </threadedComment>
  <threadedComment ref="K53" dT="2025-10-07T16:55:30.01" personId="{4C0E2F6E-59B5-4530-9DBB-21B2D9F8A427}" id="{52DDB596-A76B-5D48-BEEE-E97274B32CBB}">
    <text>Tomuto vzorcu nerozumiem.</text>
  </threadedComment>
  <threadedComment ref="L53" dT="2025-10-07T16:55:30.01" personId="{4C0E2F6E-59B5-4530-9DBB-21B2D9F8A427}" id="{A816A709-334D-5048-95DE-940E3E58AFA6}">
    <text>Tomuto vzorcu nerozumiem.</text>
  </threadedComment>
  <threadedComment ref="M53" dT="2025-10-07T16:55:30.01" personId="{4C0E2F6E-59B5-4530-9DBB-21B2D9F8A427}" id="{31240A79-3415-0F44-9762-90FA7C6D8058}">
    <text>Tomuto vzorcu nerozumiem.</text>
  </threadedComment>
  <threadedComment ref="N53" dT="2025-10-07T16:55:30.01" personId="{4C0E2F6E-59B5-4530-9DBB-21B2D9F8A427}" id="{195EE6E7-DC91-5545-A56C-2D602CB6DB3A}">
    <text>Tomuto vzorcu nerozumiem.</text>
  </threadedComment>
  <threadedComment ref="O53" dT="2025-10-07T16:55:30.01" personId="{4C0E2F6E-59B5-4530-9DBB-21B2D9F8A427}" id="{0587842F-2B39-6248-BC0C-45DFB049568D}">
    <text>Tomuto vzorcu nerozumiem.</text>
  </threadedComment>
  <threadedComment ref="P53" dT="2025-10-07T16:55:30.01" personId="{4C0E2F6E-59B5-4530-9DBB-21B2D9F8A427}" id="{889047C4-E5F9-8E48-90C4-9A968D3F6176}">
    <text>Tomuto vzorcu nerozumiem.</text>
  </threadedComment>
  <threadedComment ref="Q53" dT="2025-10-07T16:55:30.01" personId="{4C0E2F6E-59B5-4530-9DBB-21B2D9F8A427}" id="{EF653D46-0FFB-E84C-BC47-90461163B042}">
    <text>Tomuto vzorcu nerozumiem.</text>
  </threadedComment>
  <threadedComment ref="R53" dT="2025-10-07T16:55:30.01" personId="{4C0E2F6E-59B5-4530-9DBB-21B2D9F8A427}" id="{31F9EF17-6AC2-7B45-B38C-AE10AE0DCF82}">
    <text>Tomuto vzorcu nerozumiem.</text>
  </threadedComment>
  <threadedComment ref="S53" dT="2025-10-07T16:55:30.01" personId="{4C0E2F6E-59B5-4530-9DBB-21B2D9F8A427}" id="{C7E7EC7D-23B7-BB49-BCC8-3AF857C8BD92}">
    <text>Tomuto vzorcu nerozumiem.</text>
  </threadedComment>
  <threadedComment ref="T53" dT="2025-10-07T16:55:30.01" personId="{4C0E2F6E-59B5-4530-9DBB-21B2D9F8A427}" id="{4AF1F77D-2405-A244-B565-093CE89D1D5B}">
    <text>Tomuto vzorcu nerozumiem.</text>
  </threadedComment>
  <threadedComment ref="U53" dT="2025-10-07T16:55:30.01" personId="{4C0E2F6E-59B5-4530-9DBB-21B2D9F8A427}" id="{12462AE9-86F1-C24D-AEC6-7F202972E93C}">
    <text>Tomuto vzorcu nerozumiem.</text>
  </threadedComment>
  <threadedComment ref="V53" dT="2025-10-07T16:55:30.01" personId="{4C0E2F6E-59B5-4530-9DBB-21B2D9F8A427}" id="{E0DD8755-837E-4348-990F-7581744D8DE3}">
    <text>Tomuto vzorcu nerozumiem.</text>
  </threadedComment>
  <threadedComment ref="W53" dT="2025-10-07T16:55:30.01" personId="{4C0E2F6E-59B5-4530-9DBB-21B2D9F8A427}" id="{FFFCD344-1C73-A841-A2DB-001212E5CEA1}">
    <text>Tomuto vzorcu nerozumiem.</text>
  </threadedComment>
  <threadedComment ref="X53" dT="2025-10-07T16:55:30.01" personId="{4C0E2F6E-59B5-4530-9DBB-21B2D9F8A427}" id="{43DF7E9E-0DBF-5A41-92FD-8330DCA8D342}">
    <text>Tomuto vzorcu nerozumiem.</text>
  </threadedComment>
  <threadedComment ref="Y53" dT="2025-10-07T16:55:30.01" personId="{4C0E2F6E-59B5-4530-9DBB-21B2D9F8A427}" id="{65720B91-3F10-0D46-9BF8-435CD0EC28E2}">
    <text>Tomuto vzorcu nerozumiem.</text>
  </threadedComment>
  <threadedComment ref="Z53" dT="2025-10-07T16:55:30.01" personId="{4C0E2F6E-59B5-4530-9DBB-21B2D9F8A427}" id="{98F18A13-E8B5-BE48-B526-D04F47124115}">
    <text>Tomuto vzorcu nerozumiem.</text>
  </threadedComment>
  <threadedComment ref="AA53" dT="2025-10-07T16:55:30.01" personId="{4C0E2F6E-59B5-4530-9DBB-21B2D9F8A427}" id="{EAD6F5F1-4F2F-AF46-8D0C-DA8703599120}">
    <text>Tomuto vzorcu nerozumiem.</text>
  </threadedComment>
  <threadedComment ref="AB53" dT="2025-10-07T16:55:30.01" personId="{4C0E2F6E-59B5-4530-9DBB-21B2D9F8A427}" id="{536CCB36-2FC4-6146-86EF-ADF57D6EF17B}">
    <text>Tomuto vzorcu nerozumiem.</text>
  </threadedComment>
  <threadedComment ref="AC53" dT="2025-10-07T16:55:30.01" personId="{4C0E2F6E-59B5-4530-9DBB-21B2D9F8A427}" id="{00BFB80D-F9A7-C84D-9BB9-CA38FE88A325}">
    <text>Tomuto vzorcu nerozumiem.</text>
  </threadedComment>
  <threadedComment ref="AD53" dT="2025-10-07T16:55:30.01" personId="{4C0E2F6E-59B5-4530-9DBB-21B2D9F8A427}" id="{5FD308BF-94F7-0945-8A2A-6664E98CA6FE}">
    <text>Tomuto vzorcu nerozumiem.</text>
  </threadedComment>
  <threadedComment ref="AE53" dT="2025-10-07T16:55:30.01" personId="{4C0E2F6E-59B5-4530-9DBB-21B2D9F8A427}" id="{10EE2B22-3182-B746-97FA-04C8313AC719}">
    <text>Tomuto vzorcu nerozumiem.</text>
  </threadedComment>
  <threadedComment ref="AF53" dT="2025-10-07T16:55:30.01" personId="{4C0E2F6E-59B5-4530-9DBB-21B2D9F8A427}" id="{05D38D1D-EC40-DA4F-AAFF-845F3928B294}">
    <text>Tomuto vzorcu nerozumiem.</text>
  </threadedComment>
  <threadedComment ref="AG53" dT="2025-10-07T16:55:30.01" personId="{4C0E2F6E-59B5-4530-9DBB-21B2D9F8A427}" id="{9655DCFE-F7AD-8E4B-B9F0-F7F84BE14EFC}">
    <text>Tomuto vzorcu nerozumiem.</text>
  </threadedComment>
  <threadedComment ref="AH53" dT="2025-10-07T16:55:30.01" personId="{4C0E2F6E-59B5-4530-9DBB-21B2D9F8A427}" id="{B913C642-B128-7E4A-83A5-EEE7537F1305}">
    <text>Tomuto vzorcu nerozumiem.</text>
  </threadedComment>
  <threadedComment ref="AI53" dT="2025-10-07T16:55:30.01" personId="{4C0E2F6E-59B5-4530-9DBB-21B2D9F8A427}" id="{146B80D2-9443-BD4B-8B04-BB4A712C815C}">
    <text>Tomuto vzorcu nerozumiem.</text>
  </threadedComment>
  <threadedComment ref="AJ53" dT="2025-10-07T16:55:30.01" personId="{4C0E2F6E-59B5-4530-9DBB-21B2D9F8A427}" id="{8586D499-27F6-CD46-BB51-B7027F5DD8CF}">
    <text>Tomuto vzorcu nerozumiem.</text>
  </threadedComment>
  <threadedComment ref="AK53" dT="2025-10-07T16:55:30.01" personId="{4C0E2F6E-59B5-4530-9DBB-21B2D9F8A427}" id="{FC9ED0C9-623F-5147-AC9A-EF20F9DC73BF}">
    <text>Tomuto vzorcu nerozumiem.</text>
  </threadedComment>
  <threadedComment ref="AL53" dT="2025-10-07T16:55:30.01" personId="{4C0E2F6E-59B5-4530-9DBB-21B2D9F8A427}" id="{95E1A79E-8B8F-7A47-A78F-F957FA4D1C68}">
    <text>Tomuto vzorcu nerozumiem.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I11" dT="2025-10-07T17:03:26.60" personId="{4C0E2F6E-59B5-4530-9DBB-21B2D9F8A427}" id="{0F4E1D01-C376-4C4A-98B6-1F2E5EFECBFB}">
    <text>Pri modeli vlastnej výstavby sa z dôvodu rozpočítavania nákladov podarí získať dotáciu najviac na úrovni 90% max výšky. Napr. na Muchovom námestí bola dotácia len 1712 eur/m2, max bolo ca 2000</text>
  </threadedComment>
  <threadedComment ref="E53" dT="2025-10-07T16:55:30.01" personId="{4C0E2F6E-59B5-4530-9DBB-21B2D9F8A427}" id="{40A87863-3BC0-1043-AD7F-BB7CD6775938}">
    <text>Tomuto vzorcu nerozumiem.</text>
  </threadedComment>
  <threadedComment ref="F53" dT="2025-10-07T16:55:30.01" personId="{4C0E2F6E-59B5-4530-9DBB-21B2D9F8A427}" id="{9FE67F20-FE74-BF47-AA93-FC76360DA90A}">
    <text>Tomuto vzorcu nerozumiem.</text>
  </threadedComment>
  <threadedComment ref="G53" dT="2025-10-07T16:55:30.01" personId="{4C0E2F6E-59B5-4530-9DBB-21B2D9F8A427}" id="{DA1D78B2-F9ED-3D46-BECE-E172F3CAFFEE}">
    <text>Tomuto vzorcu nerozumiem.</text>
  </threadedComment>
  <threadedComment ref="H53" dT="2025-10-07T16:55:30.01" personId="{4C0E2F6E-59B5-4530-9DBB-21B2D9F8A427}" id="{D17DAD76-FE8D-A94A-A4D9-6936E023A595}">
    <text>Tomuto vzorcu nerozumiem.</text>
  </threadedComment>
  <threadedComment ref="I53" dT="2025-10-07T16:55:30.01" personId="{4C0E2F6E-59B5-4530-9DBB-21B2D9F8A427}" id="{971C3A0D-80E1-0647-994D-D82DD005F38B}">
    <text>Tomuto vzorcu nerozumiem.</text>
  </threadedComment>
  <threadedComment ref="J53" dT="2025-10-07T16:55:30.01" personId="{4C0E2F6E-59B5-4530-9DBB-21B2D9F8A427}" id="{E8810143-217C-5844-82C2-6D4BC5E9EC5D}">
    <text>Tomuto vzorcu nerozumiem.</text>
  </threadedComment>
  <threadedComment ref="K53" dT="2025-10-07T16:55:30.01" personId="{4C0E2F6E-59B5-4530-9DBB-21B2D9F8A427}" id="{E86DB7F7-7BF8-3242-8827-3D5851ED7EE2}">
    <text>Tomuto vzorcu nerozumiem.</text>
  </threadedComment>
  <threadedComment ref="L53" dT="2025-10-07T16:55:30.01" personId="{4C0E2F6E-59B5-4530-9DBB-21B2D9F8A427}" id="{6D274741-8085-5F4C-98CD-4A9B4D1256F1}">
    <text>Tomuto vzorcu nerozumiem.</text>
  </threadedComment>
  <threadedComment ref="M53" dT="2025-10-07T16:55:30.01" personId="{4C0E2F6E-59B5-4530-9DBB-21B2D9F8A427}" id="{F41F20D4-AF7F-1540-9ECB-6A6D56822FA4}">
    <text>Tomuto vzorcu nerozumiem.</text>
  </threadedComment>
  <threadedComment ref="N53" dT="2025-10-07T16:55:30.01" personId="{4C0E2F6E-59B5-4530-9DBB-21B2D9F8A427}" id="{B702AA75-B1BF-514B-BDF4-3A5E1CA0ABBC}">
    <text>Tomuto vzorcu nerozumiem.</text>
  </threadedComment>
  <threadedComment ref="O53" dT="2025-10-07T16:55:30.01" personId="{4C0E2F6E-59B5-4530-9DBB-21B2D9F8A427}" id="{4B92157F-2C7E-FA42-AF0E-DBDBD9DF7139}">
    <text>Tomuto vzorcu nerozumiem.</text>
  </threadedComment>
  <threadedComment ref="P53" dT="2025-10-07T16:55:30.01" personId="{4C0E2F6E-59B5-4530-9DBB-21B2D9F8A427}" id="{8A33ABE1-5BE9-2E49-9AB3-3E67C25D168A}">
    <text>Tomuto vzorcu nerozumiem.</text>
  </threadedComment>
  <threadedComment ref="Q53" dT="2025-10-07T16:55:30.01" personId="{4C0E2F6E-59B5-4530-9DBB-21B2D9F8A427}" id="{CA036A19-437C-4B45-AE17-342BD9A6B8B1}">
    <text>Tomuto vzorcu nerozumiem.</text>
  </threadedComment>
  <threadedComment ref="R53" dT="2025-10-07T16:55:30.01" personId="{4C0E2F6E-59B5-4530-9DBB-21B2D9F8A427}" id="{6C9A36ED-5D53-234B-8888-06B8246C3709}">
    <text>Tomuto vzorcu nerozumiem.</text>
  </threadedComment>
  <threadedComment ref="S53" dT="2025-10-07T16:55:30.01" personId="{4C0E2F6E-59B5-4530-9DBB-21B2D9F8A427}" id="{E743B2ED-AB2F-EC40-8FEC-E6D8EE0A3EB8}">
    <text>Tomuto vzorcu nerozumiem.</text>
  </threadedComment>
  <threadedComment ref="T53" dT="2025-10-07T16:55:30.01" personId="{4C0E2F6E-59B5-4530-9DBB-21B2D9F8A427}" id="{69BB7744-5C6C-414B-8935-77EB87D9631D}">
    <text>Tomuto vzorcu nerozumiem.</text>
  </threadedComment>
  <threadedComment ref="U53" dT="2025-10-07T16:55:30.01" personId="{4C0E2F6E-59B5-4530-9DBB-21B2D9F8A427}" id="{014DDCC9-2007-4748-89ED-D13DBC6C517C}">
    <text>Tomuto vzorcu nerozumiem.</text>
  </threadedComment>
  <threadedComment ref="V53" dT="2025-10-07T16:55:30.01" personId="{4C0E2F6E-59B5-4530-9DBB-21B2D9F8A427}" id="{92CB34C9-B669-0544-B847-5C1EA233728D}">
    <text>Tomuto vzorcu nerozumiem.</text>
  </threadedComment>
  <threadedComment ref="W53" dT="2025-10-07T16:55:30.01" personId="{4C0E2F6E-59B5-4530-9DBB-21B2D9F8A427}" id="{2B6FC3AB-926A-C542-B319-894C000251F5}">
    <text>Tomuto vzorcu nerozumiem.</text>
  </threadedComment>
  <threadedComment ref="X53" dT="2025-10-07T16:55:30.01" personId="{4C0E2F6E-59B5-4530-9DBB-21B2D9F8A427}" id="{4FF24297-F8A0-A54E-9A4B-BD902114AC0E}">
    <text>Tomuto vzorcu nerozumiem.</text>
  </threadedComment>
  <threadedComment ref="Y53" dT="2025-10-07T16:55:30.01" personId="{4C0E2F6E-59B5-4530-9DBB-21B2D9F8A427}" id="{40D6F3AA-1C4B-9D40-BACA-7D506A60C56E}">
    <text>Tomuto vzorcu nerozumiem.</text>
  </threadedComment>
  <threadedComment ref="Z53" dT="2025-10-07T16:55:30.01" personId="{4C0E2F6E-59B5-4530-9DBB-21B2D9F8A427}" id="{15468904-5CF5-994D-8A2F-343F22AD31DF}">
    <text>Tomuto vzorcu nerozumiem.</text>
  </threadedComment>
  <threadedComment ref="AA53" dT="2025-10-07T16:55:30.01" personId="{4C0E2F6E-59B5-4530-9DBB-21B2D9F8A427}" id="{826DF597-D24D-DF4E-85CA-006457BFFCBB}">
    <text>Tomuto vzorcu nerozumiem.</text>
  </threadedComment>
  <threadedComment ref="AB53" dT="2025-10-07T16:55:30.01" personId="{4C0E2F6E-59B5-4530-9DBB-21B2D9F8A427}" id="{8DAD542C-0834-3A49-9911-0DA0926BDD96}">
    <text>Tomuto vzorcu nerozumiem.</text>
  </threadedComment>
  <threadedComment ref="AC53" dT="2025-10-07T16:55:30.01" personId="{4C0E2F6E-59B5-4530-9DBB-21B2D9F8A427}" id="{E0ADE71F-0BC9-8048-BE54-3359D01DBC89}">
    <text>Tomuto vzorcu nerozumiem.</text>
  </threadedComment>
  <threadedComment ref="AD53" dT="2025-10-07T16:55:30.01" personId="{4C0E2F6E-59B5-4530-9DBB-21B2D9F8A427}" id="{953747B2-21E7-1F45-9AD4-D827CF15C413}">
    <text>Tomuto vzorcu nerozumiem.</text>
  </threadedComment>
  <threadedComment ref="AE53" dT="2025-10-07T16:55:30.01" personId="{4C0E2F6E-59B5-4530-9DBB-21B2D9F8A427}" id="{3BDA9CF1-5E0C-D24F-8EE3-01EEDC6D174F}">
    <text>Tomuto vzorcu nerozumiem.</text>
  </threadedComment>
  <threadedComment ref="AF53" dT="2025-10-07T16:55:30.01" personId="{4C0E2F6E-59B5-4530-9DBB-21B2D9F8A427}" id="{0C025D83-4F30-7242-AA24-EC3FACEB883F}">
    <text>Tomuto vzorcu nerozumiem.</text>
  </threadedComment>
  <threadedComment ref="AG53" dT="2025-10-07T16:55:30.01" personId="{4C0E2F6E-59B5-4530-9DBB-21B2D9F8A427}" id="{C79E3E70-0A6F-9044-B8FC-45A1EBE7632D}">
    <text>Tomuto vzorcu nerozumiem.</text>
  </threadedComment>
  <threadedComment ref="AH53" dT="2025-10-07T16:55:30.01" personId="{4C0E2F6E-59B5-4530-9DBB-21B2D9F8A427}" id="{27C38425-94D6-6345-AF9D-E8FF2268277B}">
    <text>Tomuto vzorcu nerozumiem.</text>
  </threadedComment>
  <threadedComment ref="AI53" dT="2025-10-07T16:55:30.01" personId="{4C0E2F6E-59B5-4530-9DBB-21B2D9F8A427}" id="{D0EFF7DD-CA10-C947-B0FE-25B4FB9337F1}">
    <text>Tomuto vzorcu nerozumiem.</text>
  </threadedComment>
  <threadedComment ref="AJ53" dT="2025-10-07T16:55:30.01" personId="{4C0E2F6E-59B5-4530-9DBB-21B2D9F8A427}" id="{B6539A5A-E654-5349-BE77-EAF1AC88755B}">
    <text>Tomuto vzorcu nerozumiem.</text>
  </threadedComment>
  <threadedComment ref="AK53" dT="2025-10-07T16:55:30.01" personId="{4C0E2F6E-59B5-4530-9DBB-21B2D9F8A427}" id="{DE6C2BE5-D36D-0C40-A398-658522C4BF98}">
    <text>Tomuto vzorcu nerozumiem.</text>
  </threadedComment>
  <threadedComment ref="AL53" dT="2025-10-07T16:55:30.01" personId="{4C0E2F6E-59B5-4530-9DBB-21B2D9F8A427}" id="{D3029B0D-55E6-9C4A-BE44-BA176DA92789}">
    <text>Tomuto vzorcu nerozumiem.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I11" dT="2025-10-07T17:03:26.60" personId="{4C0E2F6E-59B5-4530-9DBB-21B2D9F8A427}" id="{7839C68F-ACBF-C44D-BC68-BC3B2F43FBC9}">
    <text>Pri modeli vlastnej výstavby sa z dôvodu rozpočítavania nákladov podarí získať dotáciu najviac na úrovni 90% max výšky. Napr. na Muchovom námestí bola dotácia len 1712 eur/m2, max bolo ca 2000</text>
  </threadedComment>
  <threadedComment ref="E53" dT="2025-10-07T16:55:30.01" personId="{4C0E2F6E-59B5-4530-9DBB-21B2D9F8A427}" id="{CA9D36AD-25F6-2F40-9F74-AD17E84E9C01}">
    <text>Tomuto vzorcu nerozumiem.</text>
  </threadedComment>
  <threadedComment ref="F53" dT="2025-10-07T16:55:30.01" personId="{4C0E2F6E-59B5-4530-9DBB-21B2D9F8A427}" id="{12D51F00-FCC2-3448-9B7E-99369C074A3C}">
    <text>Tomuto vzorcu nerozumiem.</text>
  </threadedComment>
  <threadedComment ref="G53" dT="2025-10-07T16:55:30.01" personId="{4C0E2F6E-59B5-4530-9DBB-21B2D9F8A427}" id="{752A4D82-1369-0143-B689-767999D6BCC7}">
    <text>Tomuto vzorcu nerozumiem.</text>
  </threadedComment>
  <threadedComment ref="H53" dT="2025-10-07T16:55:30.01" personId="{4C0E2F6E-59B5-4530-9DBB-21B2D9F8A427}" id="{293E5B0E-4D12-B047-97C5-D5E9D1CCD481}">
    <text>Tomuto vzorcu nerozumiem.</text>
  </threadedComment>
  <threadedComment ref="I53" dT="2025-10-07T16:55:30.01" personId="{4C0E2F6E-59B5-4530-9DBB-21B2D9F8A427}" id="{4FE5B879-AF31-5640-B6C1-0DF2DA03D5F4}">
    <text>Tomuto vzorcu nerozumiem.</text>
  </threadedComment>
  <threadedComment ref="J53" dT="2025-10-07T16:55:30.01" personId="{4C0E2F6E-59B5-4530-9DBB-21B2D9F8A427}" id="{302773A2-F41D-AC47-8988-BAA9E89AF352}">
    <text>Tomuto vzorcu nerozumiem.</text>
  </threadedComment>
  <threadedComment ref="K53" dT="2025-10-07T16:55:30.01" personId="{4C0E2F6E-59B5-4530-9DBB-21B2D9F8A427}" id="{80E0F145-7C9D-FE49-A15D-58F86D1BE154}">
    <text>Tomuto vzorcu nerozumiem.</text>
  </threadedComment>
  <threadedComment ref="L53" dT="2025-10-07T16:55:30.01" personId="{4C0E2F6E-59B5-4530-9DBB-21B2D9F8A427}" id="{1730744F-9A1D-6544-AB9D-764A43AA3341}">
    <text>Tomuto vzorcu nerozumiem.</text>
  </threadedComment>
  <threadedComment ref="M53" dT="2025-10-07T16:55:30.01" personId="{4C0E2F6E-59B5-4530-9DBB-21B2D9F8A427}" id="{A0750EDA-6BC1-6441-A128-683A341FAC67}">
    <text>Tomuto vzorcu nerozumiem.</text>
  </threadedComment>
  <threadedComment ref="N53" dT="2025-10-07T16:55:30.01" personId="{4C0E2F6E-59B5-4530-9DBB-21B2D9F8A427}" id="{768E4CD1-386C-7E4E-8254-2951195BCF18}">
    <text>Tomuto vzorcu nerozumiem.</text>
  </threadedComment>
  <threadedComment ref="O53" dT="2025-10-07T16:55:30.01" personId="{4C0E2F6E-59B5-4530-9DBB-21B2D9F8A427}" id="{045B695D-C15C-9440-AAF3-737E74F98F57}">
    <text>Tomuto vzorcu nerozumiem.</text>
  </threadedComment>
  <threadedComment ref="P53" dT="2025-10-07T16:55:30.01" personId="{4C0E2F6E-59B5-4530-9DBB-21B2D9F8A427}" id="{D2B8E2AC-3AA4-A949-A43D-0C67069D53E8}">
    <text>Tomuto vzorcu nerozumiem.</text>
  </threadedComment>
  <threadedComment ref="Q53" dT="2025-10-07T16:55:30.01" personId="{4C0E2F6E-59B5-4530-9DBB-21B2D9F8A427}" id="{B72A8BBF-D724-2C40-B5F4-73F4FA989A4D}">
    <text>Tomuto vzorcu nerozumiem.</text>
  </threadedComment>
  <threadedComment ref="R53" dT="2025-10-07T16:55:30.01" personId="{4C0E2F6E-59B5-4530-9DBB-21B2D9F8A427}" id="{03D5F921-5777-0B44-9AA8-14A93D6AE88E}">
    <text>Tomuto vzorcu nerozumiem.</text>
  </threadedComment>
  <threadedComment ref="S53" dT="2025-10-07T16:55:30.01" personId="{4C0E2F6E-59B5-4530-9DBB-21B2D9F8A427}" id="{2C66D194-23CA-964B-AFFB-E5A59BEF3DAE}">
    <text>Tomuto vzorcu nerozumiem.</text>
  </threadedComment>
  <threadedComment ref="T53" dT="2025-10-07T16:55:30.01" personId="{4C0E2F6E-59B5-4530-9DBB-21B2D9F8A427}" id="{0D74A0DF-7B26-7040-8385-9588304A0708}">
    <text>Tomuto vzorcu nerozumiem.</text>
  </threadedComment>
  <threadedComment ref="U53" dT="2025-10-07T16:55:30.01" personId="{4C0E2F6E-59B5-4530-9DBB-21B2D9F8A427}" id="{EEEAB187-DA19-AB4C-9A3E-B72214BF0EA4}">
    <text>Tomuto vzorcu nerozumiem.</text>
  </threadedComment>
  <threadedComment ref="V53" dT="2025-10-07T16:55:30.01" personId="{4C0E2F6E-59B5-4530-9DBB-21B2D9F8A427}" id="{CC605947-326F-314C-9165-CDF6B893F5AE}">
    <text>Tomuto vzorcu nerozumiem.</text>
  </threadedComment>
  <threadedComment ref="W53" dT="2025-10-07T16:55:30.01" personId="{4C0E2F6E-59B5-4530-9DBB-21B2D9F8A427}" id="{C688A6D2-D92C-5248-8D6A-144C2ED9F6ED}">
    <text>Tomuto vzorcu nerozumiem.</text>
  </threadedComment>
  <threadedComment ref="X53" dT="2025-10-07T16:55:30.01" personId="{4C0E2F6E-59B5-4530-9DBB-21B2D9F8A427}" id="{C90EDBFD-F78F-644A-9B6A-80D62B9894BF}">
    <text>Tomuto vzorcu nerozumiem.</text>
  </threadedComment>
  <threadedComment ref="Y53" dT="2025-10-07T16:55:30.01" personId="{4C0E2F6E-59B5-4530-9DBB-21B2D9F8A427}" id="{C2C97D7E-AECE-4642-9826-82BD5FCE95BD}">
    <text>Tomuto vzorcu nerozumiem.</text>
  </threadedComment>
  <threadedComment ref="Z53" dT="2025-10-07T16:55:30.01" personId="{4C0E2F6E-59B5-4530-9DBB-21B2D9F8A427}" id="{48EFE5E9-C85A-6646-8FCC-43F004FA6D6F}">
    <text>Tomuto vzorcu nerozumiem.</text>
  </threadedComment>
  <threadedComment ref="AA53" dT="2025-10-07T16:55:30.01" personId="{4C0E2F6E-59B5-4530-9DBB-21B2D9F8A427}" id="{FF8C506D-DDBA-F143-B80D-7CA44852EE06}">
    <text>Tomuto vzorcu nerozumiem.</text>
  </threadedComment>
  <threadedComment ref="AB53" dT="2025-10-07T16:55:30.01" personId="{4C0E2F6E-59B5-4530-9DBB-21B2D9F8A427}" id="{8289C8E7-AF87-764C-80AC-8452903BBCB2}">
    <text>Tomuto vzorcu nerozumiem.</text>
  </threadedComment>
  <threadedComment ref="AC53" dT="2025-10-07T16:55:30.01" personId="{4C0E2F6E-59B5-4530-9DBB-21B2D9F8A427}" id="{4B9F15C0-E65B-F948-AD95-9FC349DEEEB7}">
    <text>Tomuto vzorcu nerozumiem.</text>
  </threadedComment>
  <threadedComment ref="AD53" dT="2025-10-07T16:55:30.01" personId="{4C0E2F6E-59B5-4530-9DBB-21B2D9F8A427}" id="{F7874B88-D895-4D45-AF16-0D800102AE91}">
    <text>Tomuto vzorcu nerozumiem.</text>
  </threadedComment>
  <threadedComment ref="AE53" dT="2025-10-07T16:55:30.01" personId="{4C0E2F6E-59B5-4530-9DBB-21B2D9F8A427}" id="{9CF87481-B1DD-9046-97C2-5F258666578F}">
    <text>Tomuto vzorcu nerozumiem.</text>
  </threadedComment>
  <threadedComment ref="AF53" dT="2025-10-07T16:55:30.01" personId="{4C0E2F6E-59B5-4530-9DBB-21B2D9F8A427}" id="{AEAF9281-4FC8-A847-A00C-0DE9EB52EA08}">
    <text>Tomuto vzorcu nerozumiem.</text>
  </threadedComment>
  <threadedComment ref="AG53" dT="2025-10-07T16:55:30.01" personId="{4C0E2F6E-59B5-4530-9DBB-21B2D9F8A427}" id="{CA60BE5A-AA6D-6E4A-877B-D8638D1D9DE3}">
    <text>Tomuto vzorcu nerozumiem.</text>
  </threadedComment>
  <threadedComment ref="AH53" dT="2025-10-07T16:55:30.01" personId="{4C0E2F6E-59B5-4530-9DBB-21B2D9F8A427}" id="{084C89B9-436B-B54B-A700-C3737E2A98C5}">
    <text>Tomuto vzorcu nerozumiem.</text>
  </threadedComment>
  <threadedComment ref="AI53" dT="2025-10-07T16:55:30.01" personId="{4C0E2F6E-59B5-4530-9DBB-21B2D9F8A427}" id="{56DE2EAC-9EE7-0546-B4C7-E4CF202C1F5B}">
    <text>Tomuto vzorcu nerozumiem.</text>
  </threadedComment>
  <threadedComment ref="AJ53" dT="2025-10-07T16:55:30.01" personId="{4C0E2F6E-59B5-4530-9DBB-21B2D9F8A427}" id="{1158503B-0BE4-AF48-960F-15CA58611217}">
    <text>Tomuto vzorcu nerozumiem.</text>
  </threadedComment>
  <threadedComment ref="AK53" dT="2025-10-07T16:55:30.01" personId="{4C0E2F6E-59B5-4530-9DBB-21B2D9F8A427}" id="{616B650B-A22E-364E-906B-CC563B74EDD4}">
    <text>Tomuto vzorcu nerozumiem.</text>
  </threadedComment>
  <threadedComment ref="AL53" dT="2025-10-07T16:55:30.01" personId="{4C0E2F6E-59B5-4530-9DBB-21B2D9F8A427}" id="{863FAF6D-1BF4-3540-A0A5-9C7378C8D446}">
    <text>Tomuto vzorcu nerozumiem.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1AF5F-1E96-3F49-B3AE-02350F1B7731}">
  <dimension ref="A1:G15"/>
  <sheetViews>
    <sheetView workbookViewId="0"/>
    <sheetView tabSelected="1" workbookViewId="1">
      <selection activeCell="D38" sqref="D38:D39"/>
    </sheetView>
  </sheetViews>
  <sheetFormatPr baseColWidth="10" defaultRowHeight="16" x14ac:dyDescent="0.2"/>
  <cols>
    <col min="1" max="1" width="42.33203125" bestFit="1" customWidth="1"/>
    <col min="2" max="2" width="17" bestFit="1" customWidth="1"/>
    <col min="3" max="3" width="18.33203125" bestFit="1" customWidth="1"/>
    <col min="4" max="4" width="21.6640625" bestFit="1" customWidth="1"/>
    <col min="5" max="5" width="8.1640625" bestFit="1" customWidth="1"/>
    <col min="6" max="6" width="9.5" bestFit="1" customWidth="1"/>
  </cols>
  <sheetData>
    <row r="1" spans="1:7" x14ac:dyDescent="0.2">
      <c r="A1" s="1" t="s">
        <v>115</v>
      </c>
    </row>
    <row r="2" spans="1:7" x14ac:dyDescent="0.2">
      <c r="A2" t="s">
        <v>91</v>
      </c>
    </row>
    <row r="4" spans="1:7" ht="17" thickBot="1" x14ac:dyDescent="0.25">
      <c r="A4" s="1" t="s">
        <v>116</v>
      </c>
    </row>
    <row r="5" spans="1:7" x14ac:dyDescent="0.2">
      <c r="A5" s="50" t="s">
        <v>117</v>
      </c>
      <c r="B5" s="51" t="s">
        <v>118</v>
      </c>
      <c r="C5" s="51" t="s">
        <v>119</v>
      </c>
      <c r="D5" s="51" t="s">
        <v>120</v>
      </c>
      <c r="E5" s="51" t="s">
        <v>121</v>
      </c>
      <c r="F5" s="52" t="s">
        <v>122</v>
      </c>
      <c r="G5" s="47"/>
    </row>
    <row r="6" spans="1:7" x14ac:dyDescent="0.2">
      <c r="A6" s="53" t="s">
        <v>123</v>
      </c>
      <c r="B6" s="48">
        <f>zitavska_porovnanie!$B$22</f>
        <v>764430.6111947177</v>
      </c>
      <c r="C6" s="48">
        <f>zitavska_porovnanie!$C$22</f>
        <v>145649.11853130814</v>
      </c>
      <c r="D6" s="48">
        <f>zitavska_porovnanie!$C$23</f>
        <v>618781.49266340956</v>
      </c>
      <c r="E6" s="49">
        <f>zitavska_porovnanie!$B$24</f>
        <v>0.16543638984930129</v>
      </c>
      <c r="F6" s="54">
        <f>zitavska_porovnanie!$C$24</f>
        <v>2.6013216166450512E-2</v>
      </c>
      <c r="G6" s="47"/>
    </row>
    <row r="7" spans="1:7" x14ac:dyDescent="0.2">
      <c r="A7" s="53" t="s">
        <v>124</v>
      </c>
      <c r="B7" s="48">
        <f>antolska_porovnanie!$B$22</f>
        <v>-2943683.7081861282</v>
      </c>
      <c r="C7" s="48">
        <f>antolska_porovnanie!$C$22</f>
        <v>-4288881.6130010169</v>
      </c>
      <c r="D7" s="48">
        <f>antolska_porovnanie!$C$23</f>
        <v>1345197.9048148887</v>
      </c>
      <c r="E7" s="49">
        <f>antolska_porovnanie!$B$24</f>
        <v>-0.2092820061616377</v>
      </c>
      <c r="F7" s="54">
        <f>antolska_porovnanie!$C$24</f>
        <v>-0.2467278987561109</v>
      </c>
      <c r="G7" s="47"/>
    </row>
    <row r="8" spans="1:7" ht="17" thickBot="1" x14ac:dyDescent="0.25">
      <c r="A8" s="55" t="s">
        <v>125</v>
      </c>
      <c r="B8" s="56">
        <f>navratkach_porovnanie!$B$22</f>
        <v>2839222.9391640704</v>
      </c>
      <c r="C8" s="56">
        <f>navratkach_porovnanie!$C$22</f>
        <v>-2743242.6590661183</v>
      </c>
      <c r="D8" s="56">
        <f>navratkach_porovnanie!$C$23</f>
        <v>5582465.5982301887</v>
      </c>
      <c r="E8" s="57">
        <f>navratkach_porovnanie!$B$24</f>
        <v>6.2608223844829503E-2</v>
      </c>
      <c r="F8" s="58">
        <f>navratkach_porovnanie!$C$24</f>
        <v>-4.9752802058371473E-2</v>
      </c>
      <c r="G8" s="47"/>
    </row>
    <row r="9" spans="1:7" ht="17" thickBot="1" x14ac:dyDescent="0.25">
      <c r="A9" s="59" t="s">
        <v>126</v>
      </c>
      <c r="B9" s="60">
        <f>SUM(B6:B8)</f>
        <v>659969.84217265993</v>
      </c>
      <c r="C9" s="60">
        <f>SUM(C6:C8)</f>
        <v>-6886475.1535358271</v>
      </c>
      <c r="D9" s="60">
        <f>SUM(D6:D8)</f>
        <v>7546444.995708487</v>
      </c>
      <c r="E9" s="61"/>
      <c r="F9" s="62"/>
      <c r="G9" s="47"/>
    </row>
    <row r="15" spans="1:7" x14ac:dyDescent="0.2">
      <c r="C15" s="47"/>
    </row>
  </sheetData>
  <conditionalFormatting sqref="E6:F8">
    <cfRule type="iconSet" priority="1">
      <iconSet iconSet="3Symbols2">
        <cfvo type="percent" val="0"/>
        <cfvo type="num" val="0"/>
        <cfvo type="num" val="0.05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4498C-AAB9-304E-864E-95FD42DAE2A3}">
  <dimension ref="A1:C24"/>
  <sheetViews>
    <sheetView workbookViewId="0">
      <selection activeCell="C9" sqref="C9"/>
    </sheetView>
    <sheetView workbookViewId="1">
      <selection activeCell="C23" sqref="C23"/>
    </sheetView>
  </sheetViews>
  <sheetFormatPr baseColWidth="10" defaultRowHeight="16" x14ac:dyDescent="0.2"/>
  <cols>
    <col min="1" max="1" width="45.83203125" customWidth="1"/>
    <col min="2" max="2" width="16.5" bestFit="1" customWidth="1"/>
    <col min="3" max="3" width="11.6640625" bestFit="1" customWidth="1"/>
  </cols>
  <sheetData>
    <row r="1" spans="1:3" x14ac:dyDescent="0.2">
      <c r="A1" s="1" t="s">
        <v>90</v>
      </c>
    </row>
    <row r="2" spans="1:3" x14ac:dyDescent="0.2">
      <c r="A2" t="s">
        <v>91</v>
      </c>
    </row>
    <row r="4" spans="1:3" ht="17" thickBot="1" x14ac:dyDescent="0.25">
      <c r="A4" s="1" t="s">
        <v>109</v>
      </c>
    </row>
    <row r="5" spans="1:3" ht="17" thickBot="1" x14ac:dyDescent="0.25">
      <c r="A5" s="35" t="s">
        <v>108</v>
      </c>
      <c r="B5" s="36" t="s">
        <v>92</v>
      </c>
      <c r="C5" s="37" t="s">
        <v>93</v>
      </c>
    </row>
    <row r="6" spans="1:3" x14ac:dyDescent="0.2">
      <c r="A6" s="27" t="s">
        <v>99</v>
      </c>
      <c r="B6" s="10">
        <f>B7+B8</f>
        <v>-6022494.3580840416</v>
      </c>
      <c r="C6" s="38">
        <f>C7+C8</f>
        <v>-7128346.6405950096</v>
      </c>
    </row>
    <row r="7" spans="1:3" x14ac:dyDescent="0.2">
      <c r="A7" s="28" t="s">
        <v>94</v>
      </c>
      <c r="B7" s="29">
        <f>zitavska_BOB!D21+zitavska_BOB!D22</f>
        <v>-4620692.0490168463</v>
      </c>
      <c r="C7" s="30">
        <f>zitavska_HMBA!D21+zitavska_HMBA!D22</f>
        <v>-5599043.1017581429</v>
      </c>
    </row>
    <row r="8" spans="1:3" x14ac:dyDescent="0.2">
      <c r="A8" s="28" t="s">
        <v>98</v>
      </c>
      <c r="B8" s="29">
        <f>zitavska_BOB!D62+zitavska_BOB!D63</f>
        <v>-1401802.3090671955</v>
      </c>
      <c r="C8" s="30">
        <f>zitavska_HMBA!D62+zitavska_HMBA!D63</f>
        <v>-1529303.5388368671</v>
      </c>
    </row>
    <row r="9" spans="1:3" x14ac:dyDescent="0.2">
      <c r="A9" s="27" t="s">
        <v>97</v>
      </c>
      <c r="B9" s="39">
        <f>B10+B11+B12</f>
        <v>4611320.8545377767</v>
      </c>
      <c r="C9" s="40">
        <f>C10+C11+C12</f>
        <v>4917658.0971018309</v>
      </c>
    </row>
    <row r="10" spans="1:3" x14ac:dyDescent="0.2">
      <c r="A10" s="28" t="s">
        <v>106</v>
      </c>
      <c r="B10" s="29">
        <f>SUM(zitavska_BOB!D27:D28)</f>
        <v>4917658.0971018309</v>
      </c>
      <c r="C10" s="30">
        <f>SUM(zitavska_HMBA!D27:D28)</f>
        <v>4917658.0971018309</v>
      </c>
    </row>
    <row r="11" spans="1:3" x14ac:dyDescent="0.2">
      <c r="A11" s="28" t="s">
        <v>100</v>
      </c>
      <c r="B11" s="29">
        <f>zitavska_BOB!D38+zitavska_BOB!D39</f>
        <v>-236247.12711069454</v>
      </c>
      <c r="C11" s="30">
        <v>0</v>
      </c>
    </row>
    <row r="12" spans="1:3" x14ac:dyDescent="0.2">
      <c r="A12" s="28" t="s">
        <v>101</v>
      </c>
      <c r="B12" s="29">
        <f>zitavska_BOB!D61+zitavska_BOB!D60</f>
        <v>-70090.115453359904</v>
      </c>
      <c r="C12" s="30">
        <v>0</v>
      </c>
    </row>
    <row r="13" spans="1:3" x14ac:dyDescent="0.2">
      <c r="A13" s="27" t="s">
        <v>60</v>
      </c>
      <c r="B13" s="39">
        <f>B14+B15+B16+B17</f>
        <v>2201569.870617074</v>
      </c>
      <c r="C13" s="40">
        <f>SUM(C14:C17)</f>
        <v>2356337.6620244868</v>
      </c>
    </row>
    <row r="14" spans="1:3" x14ac:dyDescent="0.2">
      <c r="A14" s="28" t="s">
        <v>95</v>
      </c>
      <c r="B14" s="29">
        <f>zitavska_BOB!D35+zitavska_BOB!D36</f>
        <v>3569711.538461538</v>
      </c>
      <c r="C14" s="30">
        <f>zitavska_HMBA!D36+zitavska_HMBA!D35</f>
        <v>3472355.769230769</v>
      </c>
    </row>
    <row r="15" spans="1:3" x14ac:dyDescent="0.2">
      <c r="A15" s="28" t="s">
        <v>96</v>
      </c>
      <c r="B15" s="29">
        <f>zitavska_BOB!D34+zitavska_BOB!D37</f>
        <v>6623529.4129143218</v>
      </c>
      <c r="C15" s="30">
        <f>zitavska_HMBA!D34+zitavska_HMBA!D37</f>
        <v>1623798.0769230768</v>
      </c>
    </row>
    <row r="16" spans="1:3" x14ac:dyDescent="0.2">
      <c r="A16" s="28" t="s">
        <v>102</v>
      </c>
      <c r="B16" s="29">
        <f>zitavska_BOB!D44+zitavska_BOB!D46+zitavska_BOB!D45</f>
        <v>-6844362.7462476548</v>
      </c>
      <c r="C16" s="30">
        <f>zitavska_HMBA!D44+zitavska_HMBA!D45+zitavska_HMBA!D46</f>
        <v>-1623798.0769230763</v>
      </c>
    </row>
    <row r="17" spans="1:3" x14ac:dyDescent="0.2">
      <c r="A17" s="28" t="s">
        <v>103</v>
      </c>
      <c r="B17" s="29">
        <f>zitavska_BOB!D47+zitavska_BOB!D48</f>
        <v>-1147308.3345111317</v>
      </c>
      <c r="C17" s="30">
        <f>zitavska_HMBA!D47+zitavska_HMBA!D48</f>
        <v>-1116018.1072062831</v>
      </c>
    </row>
    <row r="18" spans="1:3" x14ac:dyDescent="0.2">
      <c r="A18" s="27" t="s">
        <v>46</v>
      </c>
      <c r="B18" s="39">
        <f>SUM(B19:B20)</f>
        <v>-25965.755876091309</v>
      </c>
      <c r="C18" s="40">
        <f>SUM(C19:C20)</f>
        <v>0</v>
      </c>
    </row>
    <row r="19" spans="1:3" x14ac:dyDescent="0.2">
      <c r="A19" s="28" t="s">
        <v>104</v>
      </c>
      <c r="B19" s="29">
        <f>zitavska_BOB!D24+zitavska_BOB!D40+zitavska_BOB!D64+zitavska_BOB!D65</f>
        <v>-699731.4688228236</v>
      </c>
      <c r="C19" s="31">
        <v>0</v>
      </c>
    </row>
    <row r="20" spans="1:3" x14ac:dyDescent="0.2">
      <c r="A20" s="28" t="s">
        <v>105</v>
      </c>
      <c r="B20" s="29">
        <f>zitavska_BOB!D51+zitavska_BOB!D66</f>
        <v>673765.7129467323</v>
      </c>
      <c r="C20" s="31">
        <v>0</v>
      </c>
    </row>
    <row r="21" spans="1:3" x14ac:dyDescent="0.2">
      <c r="A21" s="28"/>
      <c r="B21" s="29"/>
      <c r="C21" s="31"/>
    </row>
    <row r="22" spans="1:3" ht="17" thickBot="1" x14ac:dyDescent="0.25">
      <c r="A22" s="32" t="s">
        <v>107</v>
      </c>
      <c r="B22" s="33">
        <f>B6+B9+B13+B18</f>
        <v>764430.6111947177</v>
      </c>
      <c r="C22" s="34">
        <f>C6+C9+C13+C18</f>
        <v>145649.11853130814</v>
      </c>
    </row>
    <row r="23" spans="1:3" x14ac:dyDescent="0.2">
      <c r="A23" s="41" t="s">
        <v>110</v>
      </c>
      <c r="B23" s="42"/>
      <c r="C23" s="43">
        <f>B22-C22</f>
        <v>618781.49266340956</v>
      </c>
    </row>
    <row r="24" spans="1:3" ht="17" thickBot="1" x14ac:dyDescent="0.25">
      <c r="A24" s="44" t="s">
        <v>111</v>
      </c>
      <c r="B24" s="45">
        <f>-B22/B7</f>
        <v>0.16543638984930129</v>
      </c>
      <c r="C24" s="46">
        <f>-C22/C7</f>
        <v>2.6013216166450512E-2</v>
      </c>
    </row>
  </sheetData>
  <conditionalFormatting sqref="B24:C24">
    <cfRule type="iconSet" priority="1">
      <iconSet iconSet="3Symbols2">
        <cfvo type="percent" val="0"/>
        <cfvo type="num" val="0"/>
        <cfvo type="num" val="0.05"/>
      </iconSet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6813F-6EAC-3546-9EEA-A2933FCA1648}">
  <dimension ref="A1:AL68"/>
  <sheetViews>
    <sheetView topLeftCell="F15" workbookViewId="0">
      <selection activeCell="AL19" sqref="AL19"/>
    </sheetView>
    <sheetView workbookViewId="1">
      <selection activeCell="E22" sqref="E22"/>
    </sheetView>
  </sheetViews>
  <sheetFormatPr baseColWidth="10" defaultColWidth="10.6640625" defaultRowHeight="16" x14ac:dyDescent="0.2"/>
  <cols>
    <col min="1" max="1" width="36" bestFit="1" customWidth="1"/>
    <col min="2" max="2" width="20.83203125" customWidth="1"/>
    <col min="4" max="4" width="21.83203125" customWidth="1"/>
    <col min="5" max="5" width="16.33203125" customWidth="1"/>
    <col min="6" max="6" width="36" bestFit="1" customWidth="1"/>
    <col min="7" max="7" width="23.1640625" customWidth="1"/>
    <col min="8" max="8" width="14.33203125" bestFit="1" customWidth="1"/>
    <col min="9" max="9" width="11.6640625" customWidth="1"/>
    <col min="10" max="10" width="16.1640625" customWidth="1"/>
    <col min="11" max="12" width="11" bestFit="1" customWidth="1"/>
    <col min="13" max="13" width="16.1640625" customWidth="1"/>
    <col min="14" max="14" width="14.33203125" bestFit="1" customWidth="1"/>
    <col min="15" max="15" width="12.33203125" bestFit="1" customWidth="1"/>
    <col min="16" max="28" width="11" bestFit="1" customWidth="1"/>
    <col min="29" max="29" width="10.83203125" bestFit="1" customWidth="1"/>
    <col min="30" max="38" width="11" bestFit="1" customWidth="1"/>
  </cols>
  <sheetData>
    <row r="1" spans="1:17" ht="19" x14ac:dyDescent="0.25">
      <c r="A1" s="2" t="s">
        <v>0</v>
      </c>
    </row>
    <row r="2" spans="1:17" x14ac:dyDescent="0.2">
      <c r="A2" t="s">
        <v>1</v>
      </c>
    </row>
    <row r="4" spans="1:17" x14ac:dyDescent="0.2">
      <c r="A4" s="1" t="s">
        <v>2</v>
      </c>
    </row>
    <row r="5" spans="1:17" ht="34" x14ac:dyDescent="0.2">
      <c r="A5" s="7" t="s">
        <v>3</v>
      </c>
      <c r="B5" s="3" t="s">
        <v>4</v>
      </c>
      <c r="D5" s="7" t="s">
        <v>5</v>
      </c>
      <c r="E5" s="3">
        <v>34</v>
      </c>
      <c r="G5" s="7" t="s">
        <v>6</v>
      </c>
      <c r="H5" s="6">
        <v>0.01</v>
      </c>
      <c r="J5" s="7" t="s">
        <v>7</v>
      </c>
      <c r="K5" s="6">
        <v>0.04</v>
      </c>
    </row>
    <row r="6" spans="1:17" ht="34" x14ac:dyDescent="0.2">
      <c r="A6" s="7" t="s">
        <v>8</v>
      </c>
      <c r="B6" s="5">
        <v>-5300000</v>
      </c>
      <c r="D6" s="7" t="s">
        <v>9</v>
      </c>
      <c r="E6" s="3">
        <v>1875</v>
      </c>
      <c r="G6" s="7" t="s">
        <v>10</v>
      </c>
      <c r="H6" s="3">
        <v>40</v>
      </c>
      <c r="J6" s="7" t="s">
        <v>11</v>
      </c>
      <c r="K6" s="3">
        <v>25</v>
      </c>
    </row>
    <row r="7" spans="1:17" ht="34" x14ac:dyDescent="0.2">
      <c r="A7" s="7" t="s">
        <v>12</v>
      </c>
      <c r="B7" s="6">
        <v>0.23</v>
      </c>
      <c r="D7" s="7" t="s">
        <v>13</v>
      </c>
      <c r="E7" s="4">
        <f>B8/E6</f>
        <v>-2298.1029810298105</v>
      </c>
      <c r="G7" s="7" t="s">
        <v>14</v>
      </c>
      <c r="H7" s="6">
        <v>0.4</v>
      </c>
      <c r="J7" s="7" t="s">
        <v>15</v>
      </c>
      <c r="K7" s="6">
        <v>0.06</v>
      </c>
    </row>
    <row r="8" spans="1:17" ht="34" x14ac:dyDescent="0.2">
      <c r="A8" s="7" t="s">
        <v>16</v>
      </c>
      <c r="B8" s="4">
        <f>B6/(1+$B$7)</f>
        <v>-4308943.0894308947</v>
      </c>
      <c r="D8" s="7" t="s">
        <v>17</v>
      </c>
      <c r="E8" s="6">
        <v>1</v>
      </c>
      <c r="G8" s="7" t="s">
        <v>18</v>
      </c>
      <c r="H8" s="5">
        <v>1980</v>
      </c>
      <c r="J8" s="7" t="s">
        <v>19</v>
      </c>
      <c r="K8" s="3">
        <v>25</v>
      </c>
    </row>
    <row r="9" spans="1:17" ht="34" x14ac:dyDescent="0.2">
      <c r="A9" s="7" t="s">
        <v>20</v>
      </c>
      <c r="B9" s="3">
        <v>2663</v>
      </c>
      <c r="D9" s="7"/>
      <c r="G9" s="7" t="s">
        <v>21</v>
      </c>
      <c r="H9" s="5">
        <v>2140</v>
      </c>
    </row>
    <row r="10" spans="1:17" x14ac:dyDescent="0.2">
      <c r="A10" s="7"/>
      <c r="D10" s="7"/>
      <c r="G10" s="7"/>
    </row>
    <row r="11" spans="1:17" ht="51" x14ac:dyDescent="0.2">
      <c r="A11" s="7" t="s">
        <v>22</v>
      </c>
      <c r="B11" s="6">
        <v>0.05</v>
      </c>
      <c r="D11" s="7" t="s">
        <v>23</v>
      </c>
      <c r="E11" s="5">
        <v>7</v>
      </c>
      <c r="G11" s="7" t="s">
        <v>24</v>
      </c>
      <c r="H11" s="4">
        <f>MIN(H9,-$E$7)*$E$6*0.9</f>
        <v>3611250</v>
      </c>
      <c r="I11" s="20"/>
      <c r="J11" s="7" t="s">
        <v>25</v>
      </c>
      <c r="K11" s="3">
        <v>10</v>
      </c>
      <c r="M11" s="7" t="s">
        <v>26</v>
      </c>
      <c r="N11" s="4">
        <f>-B8*(1+$B$12)-H11</f>
        <v>1688750</v>
      </c>
      <c r="O11" s="20"/>
    </row>
    <row r="12" spans="1:17" ht="51" x14ac:dyDescent="0.2">
      <c r="A12" s="7" t="s">
        <v>27</v>
      </c>
      <c r="B12" s="6">
        <v>0.23</v>
      </c>
      <c r="D12" s="7" t="s">
        <v>28</v>
      </c>
      <c r="E12" s="5">
        <v>2.5</v>
      </c>
      <c r="G12" s="7" t="s">
        <v>29</v>
      </c>
      <c r="H12" s="4">
        <f>MIN(H8,-$E$7)*$E$6</f>
        <v>3712500</v>
      </c>
      <c r="I12" s="20"/>
      <c r="J12" s="7" t="s">
        <v>30</v>
      </c>
      <c r="K12" s="13">
        <v>0.05</v>
      </c>
      <c r="M12" s="7" t="s">
        <v>31</v>
      </c>
      <c r="N12" s="4">
        <f>N13-H12</f>
        <v>1447137.2560975617</v>
      </c>
      <c r="O12" s="20"/>
      <c r="P12" s="20"/>
      <c r="Q12" s="21"/>
    </row>
    <row r="13" spans="1:17" ht="34" x14ac:dyDescent="0.2">
      <c r="A13" s="7" t="s">
        <v>32</v>
      </c>
      <c r="B13" s="6">
        <v>0.02</v>
      </c>
      <c r="D13" s="7" t="s">
        <v>33</v>
      </c>
      <c r="E13" s="5">
        <v>1.5</v>
      </c>
      <c r="G13" s="7" t="s">
        <v>34</v>
      </c>
      <c r="H13" s="4">
        <f>(E11+E13)*E6*12</f>
        <v>191250</v>
      </c>
      <c r="J13" s="7" t="s">
        <v>35</v>
      </c>
      <c r="K13" s="13">
        <v>7.0000000000000001E-3</v>
      </c>
      <c r="M13" s="7" t="s">
        <v>36</v>
      </c>
      <c r="N13" s="4">
        <f>(-SUM(E44:AL44)+SUMIFS(E24:AL24,E18:AL18,"&gt;0"))*(1+B11)*(1+K14)</f>
        <v>5159637.2560975617</v>
      </c>
      <c r="P13" s="23"/>
      <c r="Q13" s="21"/>
    </row>
    <row r="14" spans="1:17" ht="51" x14ac:dyDescent="0.2">
      <c r="A14" s="7" t="s">
        <v>37</v>
      </c>
      <c r="B14" s="3">
        <v>1.5</v>
      </c>
      <c r="D14" s="7" t="s">
        <v>38</v>
      </c>
      <c r="E14" s="5">
        <v>-11.3</v>
      </c>
      <c r="G14" s="7" t="s">
        <v>39</v>
      </c>
      <c r="H14" s="4">
        <f>(B9-E6)*E12*12</f>
        <v>23640</v>
      </c>
      <c r="J14" s="7" t="s">
        <v>40</v>
      </c>
      <c r="K14" s="13">
        <v>0.05</v>
      </c>
      <c r="M14" s="7" t="s">
        <v>41</v>
      </c>
      <c r="N14" s="4">
        <v>-1100</v>
      </c>
    </row>
    <row r="16" spans="1:17" ht="19" x14ac:dyDescent="0.25">
      <c r="A16" s="2" t="s">
        <v>42</v>
      </c>
    </row>
    <row r="17" spans="1:38" ht="19" x14ac:dyDescent="0.25">
      <c r="A17" s="2"/>
    </row>
    <row r="18" spans="1:38" s="14" customFormat="1" x14ac:dyDescent="0.2">
      <c r="A18" s="14" t="s">
        <v>43</v>
      </c>
      <c r="E18" s="14">
        <f>IF(E$19&lt;=ROUNDDOWN($B$14,0),(ROUNDDOWN($B$14,0)/$B$14)/ROUNDDOWN($B$14,0),IF(E$19=ROUNDUP($B$14,0),1-SUM($D$18:D18),0))</f>
        <v>0.66666666666666663</v>
      </c>
      <c r="F18" s="14">
        <f>IF(F$19&lt;=ROUNDDOWN($B$14,0),(ROUNDDOWN($B$14,0)/$B$14)/ROUNDDOWN($B$14,0),IF(F$19=ROUNDUP($B$14,0),1-SUM($D$18:E18),0))</f>
        <v>0.33333333333333337</v>
      </c>
      <c r="G18" s="14">
        <f>IF(G$19&lt;=ROUNDDOWN($B$14,0),(ROUNDDOWN($B$14,0)/$B$14)/ROUNDDOWN($B$14,0),IF(G$19=ROUNDUP($B$14,0),1-SUM($D$18:F18),0))</f>
        <v>0</v>
      </c>
      <c r="H18" s="14">
        <f>IF(H$19&lt;=ROUNDDOWN($B$14,0),(ROUNDDOWN($B$14,0)/$B$14)/ROUNDDOWN($B$14,0),IF(H$19=ROUNDUP($B$14,0),1-SUM($D$18:G18),0))</f>
        <v>0</v>
      </c>
      <c r="I18" s="14">
        <f>IF(I$19&lt;=ROUNDDOWN($B$14,0),(ROUNDDOWN($B$14,0)/$B$14)/ROUNDDOWN($B$14,0),IF(I$19=ROUNDUP($B$14,0),1-SUM($D$18:H18),0))</f>
        <v>0</v>
      </c>
      <c r="J18" s="14">
        <f>IF(J$19&lt;=ROUNDDOWN($B$14,0),(ROUNDDOWN($B$14,0)/$B$14)/ROUNDDOWN($B$14,0),IF(J$19=ROUNDUP($B$14,0),1-SUM($D$18:I18),0))</f>
        <v>0</v>
      </c>
      <c r="K18" s="14">
        <f>IF(K$19&lt;=ROUNDDOWN($B$14,0),(ROUNDDOWN($B$14,0)/$B$14)/ROUNDDOWN($B$14,0),IF(K$19=ROUNDUP($B$14,0),1-SUM($D$18:J18),0))</f>
        <v>0</v>
      </c>
      <c r="L18" s="14">
        <f>IF(L$19&lt;=ROUNDDOWN($B$14,0),(ROUNDDOWN($B$14,0)/$B$14)/ROUNDDOWN($B$14,0),IF(L$19=ROUNDUP($B$14,0),1-SUM($D$18:K18),0))</f>
        <v>0</v>
      </c>
      <c r="M18" s="14">
        <f>IF(M$19&lt;=ROUNDDOWN($B$14,0),(ROUNDDOWN($B$14,0)/$B$14)/ROUNDDOWN($B$14,0),IF(M$19=ROUNDUP($B$14,0),1-SUM($D$18:L18),0))</f>
        <v>0</v>
      </c>
    </row>
    <row r="19" spans="1:38" x14ac:dyDescent="0.2">
      <c r="A19" s="1" t="s">
        <v>44</v>
      </c>
      <c r="B19" s="1" t="s">
        <v>45</v>
      </c>
      <c r="C19" s="1" t="s">
        <v>46</v>
      </c>
      <c r="D19" s="1" t="s">
        <v>47</v>
      </c>
      <c r="E19" s="1">
        <v>1</v>
      </c>
      <c r="F19" s="1">
        <v>2</v>
      </c>
      <c r="G19" s="1">
        <v>3</v>
      </c>
      <c r="H19" s="1">
        <v>4</v>
      </c>
      <c r="I19" s="1">
        <v>5</v>
      </c>
      <c r="J19" s="1">
        <v>6</v>
      </c>
      <c r="K19" s="1">
        <v>7</v>
      </c>
      <c r="L19" s="1">
        <v>8</v>
      </c>
      <c r="M19" s="1">
        <v>9</v>
      </c>
      <c r="N19" s="1">
        <v>10</v>
      </c>
      <c r="O19" s="1">
        <v>11</v>
      </c>
      <c r="P19" s="1">
        <v>12</v>
      </c>
      <c r="Q19" s="1">
        <v>13</v>
      </c>
      <c r="R19" s="1">
        <v>14</v>
      </c>
      <c r="S19" s="1">
        <v>15</v>
      </c>
      <c r="T19" s="1">
        <v>16</v>
      </c>
      <c r="U19" s="1">
        <v>17</v>
      </c>
      <c r="V19" s="1">
        <v>18</v>
      </c>
      <c r="W19" s="1">
        <v>19</v>
      </c>
      <c r="X19" s="1">
        <v>20</v>
      </c>
      <c r="Y19" s="1">
        <v>21</v>
      </c>
      <c r="Z19" s="1">
        <v>22</v>
      </c>
      <c r="AA19" s="1">
        <v>23</v>
      </c>
      <c r="AB19" s="1">
        <v>24</v>
      </c>
      <c r="AC19" s="1">
        <v>25</v>
      </c>
      <c r="AD19" s="1">
        <v>26</v>
      </c>
      <c r="AE19" s="1">
        <v>27</v>
      </c>
      <c r="AF19" s="1">
        <v>28</v>
      </c>
      <c r="AG19" s="1">
        <v>29</v>
      </c>
      <c r="AH19" s="1">
        <v>30</v>
      </c>
      <c r="AI19" s="1">
        <v>31</v>
      </c>
      <c r="AJ19" s="1">
        <v>32</v>
      </c>
      <c r="AK19" s="1">
        <v>33</v>
      </c>
      <c r="AL19" s="1">
        <v>34</v>
      </c>
    </row>
    <row r="20" spans="1:38" x14ac:dyDescent="0.2">
      <c r="A20" s="8" t="s">
        <v>48</v>
      </c>
    </row>
    <row r="21" spans="1:38" x14ac:dyDescent="0.2">
      <c r="A21" t="s">
        <v>49</v>
      </c>
      <c r="B21" t="s">
        <v>50</v>
      </c>
      <c r="C21" t="b">
        <v>1</v>
      </c>
      <c r="D21" s="10">
        <f>E21+NPV($K$5,F21:AK21)</f>
        <v>-4253700.2293099854</v>
      </c>
      <c r="E21" s="9">
        <f>$B$8*E$18</f>
        <v>-2872628.726287263</v>
      </c>
      <c r="F21" s="9">
        <f t="shared" ref="F21:AL21" si="0">$B$8*F$18</f>
        <v>-1436314.3631436317</v>
      </c>
      <c r="G21" s="9">
        <f t="shared" si="0"/>
        <v>0</v>
      </c>
      <c r="H21" s="9">
        <f t="shared" si="0"/>
        <v>0</v>
      </c>
      <c r="I21" s="9">
        <f t="shared" si="0"/>
        <v>0</v>
      </c>
      <c r="J21" s="9">
        <f t="shared" si="0"/>
        <v>0</v>
      </c>
      <c r="K21" s="9">
        <f t="shared" si="0"/>
        <v>0</v>
      </c>
      <c r="L21" s="9">
        <f t="shared" si="0"/>
        <v>0</v>
      </c>
      <c r="M21" s="9">
        <f t="shared" si="0"/>
        <v>0</v>
      </c>
      <c r="N21" s="9">
        <f t="shared" si="0"/>
        <v>0</v>
      </c>
      <c r="O21" s="9">
        <f t="shared" si="0"/>
        <v>0</v>
      </c>
      <c r="P21" s="9">
        <f t="shared" si="0"/>
        <v>0</v>
      </c>
      <c r="Q21" s="9">
        <f t="shared" si="0"/>
        <v>0</v>
      </c>
      <c r="R21" s="9">
        <f t="shared" si="0"/>
        <v>0</v>
      </c>
      <c r="S21" s="9">
        <f t="shared" si="0"/>
        <v>0</v>
      </c>
      <c r="T21" s="9">
        <f t="shared" si="0"/>
        <v>0</v>
      </c>
      <c r="U21" s="9">
        <f t="shared" si="0"/>
        <v>0</v>
      </c>
      <c r="V21" s="9">
        <f t="shared" si="0"/>
        <v>0</v>
      </c>
      <c r="W21" s="9">
        <f t="shared" si="0"/>
        <v>0</v>
      </c>
      <c r="X21" s="9">
        <f t="shared" si="0"/>
        <v>0</v>
      </c>
      <c r="Y21" s="9">
        <f t="shared" si="0"/>
        <v>0</v>
      </c>
      <c r="Z21" s="9">
        <f t="shared" si="0"/>
        <v>0</v>
      </c>
      <c r="AA21" s="9">
        <f t="shared" si="0"/>
        <v>0</v>
      </c>
      <c r="AB21" s="9">
        <f t="shared" si="0"/>
        <v>0</v>
      </c>
      <c r="AC21" s="9">
        <f t="shared" si="0"/>
        <v>0</v>
      </c>
      <c r="AD21" s="9">
        <f t="shared" si="0"/>
        <v>0</v>
      </c>
      <c r="AE21" s="9">
        <f t="shared" si="0"/>
        <v>0</v>
      </c>
      <c r="AF21" s="9">
        <f t="shared" si="0"/>
        <v>0</v>
      </c>
      <c r="AG21" s="9">
        <f t="shared" si="0"/>
        <v>0</v>
      </c>
      <c r="AH21" s="9">
        <f t="shared" si="0"/>
        <v>0</v>
      </c>
      <c r="AI21" s="9">
        <f t="shared" si="0"/>
        <v>0</v>
      </c>
      <c r="AJ21" s="9">
        <f t="shared" si="0"/>
        <v>0</v>
      </c>
      <c r="AK21" s="9">
        <f t="shared" si="0"/>
        <v>0</v>
      </c>
      <c r="AL21" s="9">
        <f t="shared" si="0"/>
        <v>0</v>
      </c>
    </row>
    <row r="22" spans="1:38" x14ac:dyDescent="0.2">
      <c r="A22" t="s">
        <v>51</v>
      </c>
      <c r="B22" t="s">
        <v>52</v>
      </c>
      <c r="C22" t="b">
        <v>0</v>
      </c>
      <c r="D22" s="10">
        <f>E22+NPV($K$5,F22:AK22)</f>
        <v>-366991.81970686093</v>
      </c>
      <c r="E22" s="9">
        <f>IF(E$19&lt;($K$11+ROUNDUP($B$14,0)),0,IF(MOD(E$19-ROUNDUP($B$14,0),$K$11)=0,$B$6*$K$12*POWER(1+$B$13,E$19-ROUNDUP(E$19,0)),0))</f>
        <v>0</v>
      </c>
      <c r="F22" s="9">
        <f t="shared" ref="F22:AL22" si="1">IF(F$19&lt;($K$11+ROUNDUP($B$14,0)),0,IF(MOD(F$19-ROUNDUP($B$14,0),$K$11)=0,$B$6*$K$12*POWER(1+$B$13,F$19-ROUNDUP(F$19,0)),0))</f>
        <v>0</v>
      </c>
      <c r="G22" s="9">
        <f t="shared" si="1"/>
        <v>0</v>
      </c>
      <c r="H22" s="9">
        <f t="shared" si="1"/>
        <v>0</v>
      </c>
      <c r="I22" s="9">
        <f t="shared" si="1"/>
        <v>0</v>
      </c>
      <c r="J22" s="9">
        <f t="shared" si="1"/>
        <v>0</v>
      </c>
      <c r="K22" s="9">
        <f t="shared" si="1"/>
        <v>0</v>
      </c>
      <c r="L22" s="9">
        <f t="shared" si="1"/>
        <v>0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-265000</v>
      </c>
      <c r="Q22" s="9">
        <f t="shared" si="1"/>
        <v>0</v>
      </c>
      <c r="R22" s="9">
        <f t="shared" si="1"/>
        <v>0</v>
      </c>
      <c r="S22" s="9">
        <f t="shared" si="1"/>
        <v>0</v>
      </c>
      <c r="T22" s="9">
        <f t="shared" si="1"/>
        <v>0</v>
      </c>
      <c r="U22" s="9">
        <f t="shared" si="1"/>
        <v>0</v>
      </c>
      <c r="V22" s="9">
        <f t="shared" si="1"/>
        <v>0</v>
      </c>
      <c r="W22" s="9">
        <f t="shared" si="1"/>
        <v>0</v>
      </c>
      <c r="X22" s="9">
        <f t="shared" si="1"/>
        <v>0</v>
      </c>
      <c r="Y22" s="9">
        <f t="shared" si="1"/>
        <v>0</v>
      </c>
      <c r="Z22" s="9">
        <f t="shared" si="1"/>
        <v>-265000</v>
      </c>
      <c r="AA22" s="9">
        <f t="shared" si="1"/>
        <v>0</v>
      </c>
      <c r="AB22" s="9">
        <f t="shared" si="1"/>
        <v>0</v>
      </c>
      <c r="AC22" s="9">
        <f t="shared" si="1"/>
        <v>0</v>
      </c>
      <c r="AD22" s="9">
        <f t="shared" si="1"/>
        <v>0</v>
      </c>
      <c r="AE22" s="9">
        <f t="shared" si="1"/>
        <v>0</v>
      </c>
      <c r="AF22" s="9">
        <f t="shared" si="1"/>
        <v>0</v>
      </c>
      <c r="AG22" s="9">
        <f t="shared" si="1"/>
        <v>0</v>
      </c>
      <c r="AH22" s="9">
        <f t="shared" si="1"/>
        <v>0</v>
      </c>
      <c r="AI22" s="9">
        <f t="shared" si="1"/>
        <v>0</v>
      </c>
      <c r="AJ22" s="9">
        <f t="shared" si="1"/>
        <v>-265000</v>
      </c>
      <c r="AK22" s="9">
        <f t="shared" si="1"/>
        <v>0</v>
      </c>
      <c r="AL22" s="9">
        <f t="shared" si="1"/>
        <v>0</v>
      </c>
    </row>
    <row r="23" spans="1:38" x14ac:dyDescent="0.2">
      <c r="D23" s="10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</row>
    <row r="24" spans="1:38" s="16" customFormat="1" x14ac:dyDescent="0.2">
      <c r="A24" s="15" t="s">
        <v>53</v>
      </c>
      <c r="B24" s="15" t="s">
        <v>50</v>
      </c>
      <c r="D24" s="17">
        <f>E24+NPV($K$5,F24:AK24)</f>
        <v>-978351.05274129682</v>
      </c>
      <c r="E24" s="18">
        <f t="shared" ref="E24:AL24" si="2">SUMIFS(E$21:E$23,$C$21:$C$23,TRUE)*$B$12</f>
        <v>-660704.60704607051</v>
      </c>
      <c r="F24" s="18">
        <f t="shared" si="2"/>
        <v>-330352.30352303531</v>
      </c>
      <c r="G24" s="18">
        <f t="shared" si="2"/>
        <v>0</v>
      </c>
      <c r="H24" s="18">
        <f t="shared" si="2"/>
        <v>0</v>
      </c>
      <c r="I24" s="18">
        <f t="shared" si="2"/>
        <v>0</v>
      </c>
      <c r="J24" s="18">
        <f t="shared" si="2"/>
        <v>0</v>
      </c>
      <c r="K24" s="18">
        <f t="shared" si="2"/>
        <v>0</v>
      </c>
      <c r="L24" s="18">
        <f t="shared" si="2"/>
        <v>0</v>
      </c>
      <c r="M24" s="18">
        <f t="shared" si="2"/>
        <v>0</v>
      </c>
      <c r="N24" s="18">
        <f t="shared" si="2"/>
        <v>0</v>
      </c>
      <c r="O24" s="18">
        <f t="shared" si="2"/>
        <v>0</v>
      </c>
      <c r="P24" s="18">
        <f t="shared" si="2"/>
        <v>0</v>
      </c>
      <c r="Q24" s="18">
        <f t="shared" si="2"/>
        <v>0</v>
      </c>
      <c r="R24" s="18">
        <f t="shared" si="2"/>
        <v>0</v>
      </c>
      <c r="S24" s="18">
        <f t="shared" si="2"/>
        <v>0</v>
      </c>
      <c r="T24" s="18">
        <f t="shared" si="2"/>
        <v>0</v>
      </c>
      <c r="U24" s="18">
        <f t="shared" si="2"/>
        <v>0</v>
      </c>
      <c r="V24" s="18">
        <f t="shared" si="2"/>
        <v>0</v>
      </c>
      <c r="W24" s="18">
        <f t="shared" si="2"/>
        <v>0</v>
      </c>
      <c r="X24" s="18">
        <f t="shared" si="2"/>
        <v>0</v>
      </c>
      <c r="Y24" s="18">
        <f t="shared" si="2"/>
        <v>0</v>
      </c>
      <c r="Z24" s="18">
        <f t="shared" si="2"/>
        <v>0</v>
      </c>
      <c r="AA24" s="18">
        <f t="shared" si="2"/>
        <v>0</v>
      </c>
      <c r="AB24" s="18">
        <f t="shared" si="2"/>
        <v>0</v>
      </c>
      <c r="AC24" s="18">
        <f t="shared" si="2"/>
        <v>0</v>
      </c>
      <c r="AD24" s="18">
        <f t="shared" si="2"/>
        <v>0</v>
      </c>
      <c r="AE24" s="18">
        <f t="shared" si="2"/>
        <v>0</v>
      </c>
      <c r="AF24" s="18">
        <f t="shared" si="2"/>
        <v>0</v>
      </c>
      <c r="AG24" s="18">
        <f t="shared" si="2"/>
        <v>0</v>
      </c>
      <c r="AH24" s="18">
        <f t="shared" si="2"/>
        <v>0</v>
      </c>
      <c r="AI24" s="18">
        <f t="shared" si="2"/>
        <v>0</v>
      </c>
      <c r="AJ24" s="18">
        <f t="shared" si="2"/>
        <v>0</v>
      </c>
      <c r="AK24" s="18">
        <f t="shared" si="2"/>
        <v>0</v>
      </c>
      <c r="AL24" s="18">
        <f t="shared" si="2"/>
        <v>0</v>
      </c>
    </row>
    <row r="26" spans="1:38" x14ac:dyDescent="0.2">
      <c r="A26" s="8" t="s">
        <v>54</v>
      </c>
    </row>
    <row r="27" spans="1:38" x14ac:dyDescent="0.2">
      <c r="A27" t="s">
        <v>55</v>
      </c>
      <c r="B27" t="s">
        <v>52</v>
      </c>
      <c r="C27" t="b">
        <v>0</v>
      </c>
      <c r="D27" s="10">
        <f>E27+NPV($K$5,F27:AK27)</f>
        <v>4376667.6488935044</v>
      </c>
      <c r="E27" s="9">
        <f t="shared" ref="E27:F27" si="3">IF(E19&gt;$B$14,$H$13*POWER(1+$B$13,E$19-$B$14),0)*(1-(($B$14-ROUNDDOWN($B$14,0))*IF(E$19=ROUNDUP($B$14,0),1,0)))</f>
        <v>0</v>
      </c>
      <c r="F27" s="9">
        <f t="shared" si="3"/>
        <v>96576.515973087371</v>
      </c>
      <c r="G27" s="9">
        <f>IF(G19&gt;$B$14,$H$13*POWER(1+$B$13,G$19-$B$14),0)*(1-(($B$14-ROUNDDOWN($B$14,0))*IF(G$19=ROUNDUP($B$14,0),1,0)))</f>
        <v>197016.09258509826</v>
      </c>
      <c r="H27" s="9">
        <f t="shared" ref="H27:AL27" si="4">IF(H19&gt;$B$14,$H$13*POWER(1+$B$13,H$19-$B$14),0)*(1-(($B$14-ROUNDDOWN($B$14,0))*IF(H$19=ROUNDUP($B$14,0),1,0)))</f>
        <v>200956.4144368002</v>
      </c>
      <c r="I27" s="9">
        <f t="shared" si="4"/>
        <v>204975.54272553619</v>
      </c>
      <c r="J27" s="9">
        <f t="shared" si="4"/>
        <v>209075.05358004692</v>
      </c>
      <c r="K27" s="9">
        <f t="shared" si="4"/>
        <v>213256.55465164786</v>
      </c>
      <c r="L27" s="9">
        <f t="shared" si="4"/>
        <v>217521.68574468087</v>
      </c>
      <c r="M27" s="9">
        <f t="shared" si="4"/>
        <v>221872.11945957446</v>
      </c>
      <c r="N27" s="9">
        <f t="shared" si="4"/>
        <v>226309.56184876597</v>
      </c>
      <c r="O27" s="9">
        <f t="shared" si="4"/>
        <v>230835.75308574128</v>
      </c>
      <c r="P27" s="9">
        <f t="shared" si="4"/>
        <v>235452.46814745612</v>
      </c>
      <c r="Q27" s="9">
        <f t="shared" si="4"/>
        <v>240161.51751040525</v>
      </c>
      <c r="R27" s="9">
        <f t="shared" si="4"/>
        <v>244964.74786061334</v>
      </c>
      <c r="S27" s="9">
        <f t="shared" si="4"/>
        <v>249864.04281782563</v>
      </c>
      <c r="T27" s="9">
        <f t="shared" si="4"/>
        <v>254861.32367418215</v>
      </c>
      <c r="U27" s="9">
        <f t="shared" si="4"/>
        <v>259958.55014766581</v>
      </c>
      <c r="V27" s="9">
        <f t="shared" si="4"/>
        <v>265157.72115061909</v>
      </c>
      <c r="W27" s="9">
        <f t="shared" si="4"/>
        <v>270460.87557363149</v>
      </c>
      <c r="X27" s="9">
        <f t="shared" si="4"/>
        <v>275870.09308510413</v>
      </c>
      <c r="Y27" s="9">
        <f t="shared" si="4"/>
        <v>281387.49494680623</v>
      </c>
      <c r="Z27" s="9">
        <f t="shared" si="4"/>
        <v>287015.2448457423</v>
      </c>
      <c r="AA27" s="9">
        <f t="shared" si="4"/>
        <v>292755.54974265723</v>
      </c>
      <c r="AB27" s="9">
        <f t="shared" si="4"/>
        <v>298610.66073751036</v>
      </c>
      <c r="AC27" s="9">
        <f t="shared" si="4"/>
        <v>304582.87395226059</v>
      </c>
      <c r="AD27" s="9">
        <f t="shared" si="4"/>
        <v>310674.53143130575</v>
      </c>
      <c r="AE27" s="9">
        <f t="shared" si="4"/>
        <v>316888.02205993189</v>
      </c>
      <c r="AF27" s="9">
        <f t="shared" si="4"/>
        <v>323225.78250113054</v>
      </c>
      <c r="AG27" s="9">
        <f t="shared" si="4"/>
        <v>329690.29815115314</v>
      </c>
      <c r="AH27" s="9">
        <f t="shared" si="4"/>
        <v>336284.10411417624</v>
      </c>
      <c r="AI27" s="9">
        <f t="shared" si="4"/>
        <v>343009.78619645973</v>
      </c>
      <c r="AJ27" s="9">
        <f t="shared" si="4"/>
        <v>349869.98192038893</v>
      </c>
      <c r="AK27" s="9">
        <f t="shared" si="4"/>
        <v>356867.38155879674</v>
      </c>
      <c r="AL27" s="9">
        <f t="shared" si="4"/>
        <v>364004.72918997268</v>
      </c>
    </row>
    <row r="28" spans="1:38" x14ac:dyDescent="0.2">
      <c r="A28" t="s">
        <v>56</v>
      </c>
      <c r="B28" t="s">
        <v>52</v>
      </c>
      <c r="C28" t="b">
        <v>0</v>
      </c>
      <c r="D28" s="10">
        <f>E28+NPV($K$5,F28:AK28)</f>
        <v>540990.44820832659</v>
      </c>
      <c r="E28" s="9">
        <f>IF(E19&gt;$B$14,$H$14*POWER(1+$B$13,E$19-$B$14),0)*(1-(($B$14-ROUNDDOWN($B$14,0))*IF(E$19=ROUNDUP($B$14,0),1,0)))</f>
        <v>0</v>
      </c>
      <c r="F28" s="9">
        <f t="shared" ref="F28:AL28" si="5">IF(F19&gt;$B$14,$H$14*POWER(1+$B$13,F$19-$B$14),0)*(1-(($B$14-ROUNDDOWN($B$14,0))*IF(F$19=ROUNDUP($B$14,0),1,0)))</f>
        <v>11937.614837143976</v>
      </c>
      <c r="G28" s="9">
        <f t="shared" si="5"/>
        <v>24352.734267773714</v>
      </c>
      <c r="H28" s="9">
        <f t="shared" si="5"/>
        <v>24839.788953129188</v>
      </c>
      <c r="I28" s="9">
        <f t="shared" si="5"/>
        <v>25336.584732191768</v>
      </c>
      <c r="J28" s="9">
        <f t="shared" si="5"/>
        <v>25843.316426835605</v>
      </c>
      <c r="K28" s="9">
        <f t="shared" si="5"/>
        <v>26360.18275537232</v>
      </c>
      <c r="L28" s="9">
        <f t="shared" si="5"/>
        <v>26887.386410479769</v>
      </c>
      <c r="M28" s="9">
        <f t="shared" si="5"/>
        <v>27425.134138689358</v>
      </c>
      <c r="N28" s="9">
        <f t="shared" si="5"/>
        <v>27973.636821463151</v>
      </c>
      <c r="O28" s="9">
        <f t="shared" si="5"/>
        <v>28533.109557892411</v>
      </c>
      <c r="P28" s="9">
        <f t="shared" si="5"/>
        <v>29103.771749050265</v>
      </c>
      <c r="Q28" s="9">
        <f t="shared" si="5"/>
        <v>29685.84718403127</v>
      </c>
      <c r="R28" s="9">
        <f t="shared" si="5"/>
        <v>30279.564127711892</v>
      </c>
      <c r="S28" s="9">
        <f t="shared" si="5"/>
        <v>30885.155410266132</v>
      </c>
      <c r="T28" s="9">
        <f t="shared" si="5"/>
        <v>31502.858518471454</v>
      </c>
      <c r="U28" s="9">
        <f t="shared" si="5"/>
        <v>32132.915688840887</v>
      </c>
      <c r="V28" s="9">
        <f t="shared" si="5"/>
        <v>32775.574002617708</v>
      </c>
      <c r="W28" s="9">
        <f t="shared" si="5"/>
        <v>33431.085482670052</v>
      </c>
      <c r="X28" s="9">
        <f t="shared" si="5"/>
        <v>34099.707192323454</v>
      </c>
      <c r="Y28" s="9">
        <f t="shared" si="5"/>
        <v>34781.701336169928</v>
      </c>
      <c r="Z28" s="9">
        <f t="shared" si="5"/>
        <v>35477.335362893326</v>
      </c>
      <c r="AA28" s="9">
        <f t="shared" si="5"/>
        <v>36186.882070151194</v>
      </c>
      <c r="AB28" s="9">
        <f t="shared" si="5"/>
        <v>36910.619711554224</v>
      </c>
      <c r="AC28" s="9">
        <f t="shared" si="5"/>
        <v>37648.832105785303</v>
      </c>
      <c r="AD28" s="9">
        <f t="shared" si="5"/>
        <v>38401.808747901014</v>
      </c>
      <c r="AE28" s="9">
        <f t="shared" si="5"/>
        <v>39169.844922859033</v>
      </c>
      <c r="AF28" s="9">
        <f t="shared" si="5"/>
        <v>39953.241821316216</v>
      </c>
      <c r="AG28" s="9">
        <f t="shared" si="5"/>
        <v>40752.306657742534</v>
      </c>
      <c r="AH28" s="9">
        <f t="shared" si="5"/>
        <v>41567.352790897392</v>
      </c>
      <c r="AI28" s="9">
        <f t="shared" si="5"/>
        <v>42398.699846715339</v>
      </c>
      <c r="AJ28" s="9">
        <f t="shared" si="5"/>
        <v>43246.673843649638</v>
      </c>
      <c r="AK28" s="9">
        <f t="shared" si="5"/>
        <v>44111.607320522642</v>
      </c>
      <c r="AL28" s="9">
        <f t="shared" si="5"/>
        <v>44993.839466933088</v>
      </c>
    </row>
    <row r="29" spans="1:38" x14ac:dyDescent="0.2">
      <c r="A29" t="s">
        <v>57</v>
      </c>
      <c r="C29" t="b">
        <v>0</v>
      </c>
      <c r="D29" s="10">
        <f>E29+NPV($K$5,F29:AK29)</f>
        <v>-867030.33337108325</v>
      </c>
      <c r="E29" s="9">
        <f>IF(E27&gt;0,$B$6*$K$13*POWER(1+$B$13,E$19-$B$14),0)</f>
        <v>0</v>
      </c>
      <c r="F29" s="9">
        <f t="shared" ref="F29:AL29" si="6">IF(F27&gt;0,$B$6*$K$13*POWER(1+$B$13,F$19-$B$14),0)</f>
        <v>-37469.163321323307</v>
      </c>
      <c r="G29" s="9">
        <f t="shared" si="6"/>
        <v>-38218.546587749777</v>
      </c>
      <c r="H29" s="9">
        <f t="shared" si="6"/>
        <v>-38982.917519504772</v>
      </c>
      <c r="I29" s="9">
        <f t="shared" si="6"/>
        <v>-39762.575869894863</v>
      </c>
      <c r="J29" s="9">
        <f t="shared" si="6"/>
        <v>-40557.827387292768</v>
      </c>
      <c r="K29" s="9">
        <f t="shared" si="6"/>
        <v>-41368.983935038617</v>
      </c>
      <c r="L29" s="9">
        <f t="shared" si="6"/>
        <v>-42196.363613739399</v>
      </c>
      <c r="M29" s="9">
        <f t="shared" si="6"/>
        <v>-43040.290886014183</v>
      </c>
      <c r="N29" s="9">
        <f t="shared" si="6"/>
        <v>-43901.096703734474</v>
      </c>
      <c r="O29" s="9">
        <f t="shared" si="6"/>
        <v>-44779.118637809159</v>
      </c>
      <c r="P29" s="9">
        <f t="shared" si="6"/>
        <v>-45674.701010565346</v>
      </c>
      <c r="Q29" s="9">
        <f t="shared" si="6"/>
        <v>-46588.195030776653</v>
      </c>
      <c r="R29" s="9">
        <f t="shared" si="6"/>
        <v>-47519.958931392182</v>
      </c>
      <c r="S29" s="9">
        <f t="shared" si="6"/>
        <v>-48470.358110020032</v>
      </c>
      <c r="T29" s="9">
        <f t="shared" si="6"/>
        <v>-49439.765272220429</v>
      </c>
      <c r="U29" s="9">
        <f t="shared" si="6"/>
        <v>-50428.560577664844</v>
      </c>
      <c r="V29" s="9">
        <f t="shared" si="6"/>
        <v>-51437.13178921814</v>
      </c>
      <c r="W29" s="9">
        <f t="shared" si="6"/>
        <v>-52465.874425002497</v>
      </c>
      <c r="X29" s="9">
        <f t="shared" si="6"/>
        <v>-53515.191913502546</v>
      </c>
      <c r="Y29" s="9">
        <f t="shared" si="6"/>
        <v>-54585.495751772607</v>
      </c>
      <c r="Z29" s="9">
        <f t="shared" si="6"/>
        <v>-55677.205666808055</v>
      </c>
      <c r="AA29" s="9">
        <f t="shared" si="6"/>
        <v>-56790.749780144222</v>
      </c>
      <c r="AB29" s="9">
        <f t="shared" si="6"/>
        <v>-57926.564775747109</v>
      </c>
      <c r="AC29" s="9">
        <f t="shared" si="6"/>
        <v>-59085.096071262051</v>
      </c>
      <c r="AD29" s="9">
        <f t="shared" si="6"/>
        <v>-60266.797992687287</v>
      </c>
      <c r="AE29" s="9">
        <f t="shared" si="6"/>
        <v>-61472.133952541037</v>
      </c>
      <c r="AF29" s="9">
        <f t="shared" si="6"/>
        <v>-62701.576631591859</v>
      </c>
      <c r="AG29" s="9">
        <f t="shared" si="6"/>
        <v>-63955.60816422369</v>
      </c>
      <c r="AH29" s="9">
        <f t="shared" si="6"/>
        <v>-65234.72032750817</v>
      </c>
      <c r="AI29" s="9">
        <f t="shared" si="6"/>
        <v>-66539.414734058329</v>
      </c>
      <c r="AJ29" s="9">
        <f t="shared" si="6"/>
        <v>-67870.203028739503</v>
      </c>
      <c r="AK29" s="9">
        <f t="shared" si="6"/>
        <v>-69227.607089314304</v>
      </c>
      <c r="AL29" s="9">
        <f t="shared" si="6"/>
        <v>-70612.159231100581</v>
      </c>
    </row>
    <row r="30" spans="1:38" x14ac:dyDescent="0.2">
      <c r="A30" t="s">
        <v>58</v>
      </c>
      <c r="C30" t="b">
        <v>0</v>
      </c>
      <c r="D30" s="10">
        <f>E30+NPV($K$5,F30:AK30)</f>
        <v>366991.81970686093</v>
      </c>
      <c r="E30" s="9">
        <f>-E22</f>
        <v>0</v>
      </c>
      <c r="F30" s="9">
        <f t="shared" ref="F30:AL30" si="7">-F22</f>
        <v>0</v>
      </c>
      <c r="G30" s="9">
        <f t="shared" si="7"/>
        <v>0</v>
      </c>
      <c r="H30" s="9">
        <f t="shared" si="7"/>
        <v>0</v>
      </c>
      <c r="I30" s="9">
        <f t="shared" si="7"/>
        <v>0</v>
      </c>
      <c r="J30" s="9">
        <f t="shared" si="7"/>
        <v>0</v>
      </c>
      <c r="K30" s="9">
        <f t="shared" si="7"/>
        <v>0</v>
      </c>
      <c r="L30" s="9">
        <f t="shared" si="7"/>
        <v>0</v>
      </c>
      <c r="M30" s="9">
        <f t="shared" si="7"/>
        <v>0</v>
      </c>
      <c r="N30" s="9">
        <f t="shared" si="7"/>
        <v>0</v>
      </c>
      <c r="O30" s="9">
        <f t="shared" si="7"/>
        <v>0</v>
      </c>
      <c r="P30" s="9">
        <f t="shared" si="7"/>
        <v>265000</v>
      </c>
      <c r="Q30" s="9">
        <f t="shared" si="7"/>
        <v>0</v>
      </c>
      <c r="R30" s="9">
        <f t="shared" si="7"/>
        <v>0</v>
      </c>
      <c r="S30" s="9">
        <f t="shared" si="7"/>
        <v>0</v>
      </c>
      <c r="T30" s="9">
        <f t="shared" si="7"/>
        <v>0</v>
      </c>
      <c r="U30" s="9">
        <f t="shared" si="7"/>
        <v>0</v>
      </c>
      <c r="V30" s="9">
        <f t="shared" si="7"/>
        <v>0</v>
      </c>
      <c r="W30" s="9">
        <f t="shared" si="7"/>
        <v>0</v>
      </c>
      <c r="X30" s="9">
        <f t="shared" si="7"/>
        <v>0</v>
      </c>
      <c r="Y30" s="9">
        <f t="shared" si="7"/>
        <v>0</v>
      </c>
      <c r="Z30" s="9">
        <f t="shared" si="7"/>
        <v>265000</v>
      </c>
      <c r="AA30" s="9">
        <f t="shared" si="7"/>
        <v>0</v>
      </c>
      <c r="AB30" s="9">
        <f t="shared" si="7"/>
        <v>0</v>
      </c>
      <c r="AC30" s="9">
        <f t="shared" si="7"/>
        <v>0</v>
      </c>
      <c r="AD30" s="9">
        <f t="shared" si="7"/>
        <v>0</v>
      </c>
      <c r="AE30" s="9">
        <f t="shared" si="7"/>
        <v>0</v>
      </c>
      <c r="AF30" s="9">
        <f t="shared" si="7"/>
        <v>0</v>
      </c>
      <c r="AG30" s="9">
        <f t="shared" si="7"/>
        <v>0</v>
      </c>
      <c r="AH30" s="9">
        <f t="shared" si="7"/>
        <v>0</v>
      </c>
      <c r="AI30" s="9">
        <f t="shared" si="7"/>
        <v>0</v>
      </c>
      <c r="AJ30" s="9">
        <f t="shared" si="7"/>
        <v>265000</v>
      </c>
      <c r="AK30" s="9">
        <f t="shared" si="7"/>
        <v>0</v>
      </c>
      <c r="AL30" s="9">
        <f t="shared" si="7"/>
        <v>0</v>
      </c>
    </row>
    <row r="31" spans="1:38" s="16" customFormat="1" x14ac:dyDescent="0.2">
      <c r="A31" s="15" t="s">
        <v>59</v>
      </c>
      <c r="E31" s="18">
        <v>0</v>
      </c>
      <c r="F31" s="18">
        <f>E31-F29-F30</f>
        <v>37469.163321323307</v>
      </c>
      <c r="G31" s="18">
        <f t="shared" ref="G31:AL31" si="8">F31-G29-G30</f>
        <v>75687.709909073077</v>
      </c>
      <c r="H31" s="18">
        <f t="shared" si="8"/>
        <v>114670.62742857785</v>
      </c>
      <c r="I31" s="18">
        <f t="shared" si="8"/>
        <v>154433.20329847271</v>
      </c>
      <c r="J31" s="18">
        <f t="shared" si="8"/>
        <v>194991.03068576549</v>
      </c>
      <c r="K31" s="18">
        <f t="shared" si="8"/>
        <v>236360.01462080411</v>
      </c>
      <c r="L31" s="18">
        <f t="shared" si="8"/>
        <v>278556.37823454349</v>
      </c>
      <c r="M31" s="18">
        <f t="shared" si="8"/>
        <v>321596.66912055766</v>
      </c>
      <c r="N31" s="18">
        <f t="shared" si="8"/>
        <v>365497.76582429215</v>
      </c>
      <c r="O31" s="18">
        <f t="shared" si="8"/>
        <v>410276.88446210133</v>
      </c>
      <c r="P31" s="18">
        <f t="shared" si="8"/>
        <v>190951.58547266666</v>
      </c>
      <c r="Q31" s="18">
        <f t="shared" si="8"/>
        <v>237539.78050344333</v>
      </c>
      <c r="R31" s="18">
        <f t="shared" si="8"/>
        <v>285059.7394348355</v>
      </c>
      <c r="S31" s="18">
        <f t="shared" si="8"/>
        <v>333530.09754485555</v>
      </c>
      <c r="T31" s="18">
        <f t="shared" si="8"/>
        <v>382969.86281707598</v>
      </c>
      <c r="U31" s="18">
        <f t="shared" si="8"/>
        <v>433398.42339474079</v>
      </c>
      <c r="V31" s="18">
        <f t="shared" si="8"/>
        <v>484835.55518395896</v>
      </c>
      <c r="W31" s="18">
        <f t="shared" si="8"/>
        <v>537301.42960896145</v>
      </c>
      <c r="X31" s="18">
        <f t="shared" si="8"/>
        <v>590816.62152246397</v>
      </c>
      <c r="Y31" s="18">
        <f t="shared" si="8"/>
        <v>645402.11727423663</v>
      </c>
      <c r="Z31" s="18">
        <f t="shared" si="8"/>
        <v>436079.32294104469</v>
      </c>
      <c r="AA31" s="18">
        <f t="shared" si="8"/>
        <v>492870.07272118889</v>
      </c>
      <c r="AB31" s="18">
        <f t="shared" si="8"/>
        <v>550796.63749693602</v>
      </c>
      <c r="AC31" s="18">
        <f t="shared" si="8"/>
        <v>609881.73356819805</v>
      </c>
      <c r="AD31" s="18">
        <f t="shared" si="8"/>
        <v>670148.53156088537</v>
      </c>
      <c r="AE31" s="18">
        <f t="shared" si="8"/>
        <v>731620.66551342641</v>
      </c>
      <c r="AF31" s="18">
        <f t="shared" si="8"/>
        <v>794322.2421450183</v>
      </c>
      <c r="AG31" s="18">
        <f t="shared" si="8"/>
        <v>858277.85030924203</v>
      </c>
      <c r="AH31" s="18">
        <f t="shared" si="8"/>
        <v>923512.5706367502</v>
      </c>
      <c r="AI31" s="18">
        <f t="shared" si="8"/>
        <v>990051.98537080851</v>
      </c>
      <c r="AJ31" s="18">
        <f t="shared" si="8"/>
        <v>792922.18839954794</v>
      </c>
      <c r="AK31" s="18">
        <f t="shared" si="8"/>
        <v>862149.7954888622</v>
      </c>
      <c r="AL31" s="18">
        <f t="shared" si="8"/>
        <v>932761.95471996279</v>
      </c>
    </row>
    <row r="33" spans="1:38" x14ac:dyDescent="0.2">
      <c r="A33" s="8" t="s">
        <v>60</v>
      </c>
    </row>
    <row r="34" spans="1:38" x14ac:dyDescent="0.2">
      <c r="A34" t="s">
        <v>61</v>
      </c>
      <c r="B34" t="s">
        <v>50</v>
      </c>
      <c r="C34" t="b">
        <v>0</v>
      </c>
      <c r="D34" s="10">
        <f t="shared" ref="D34:D40" si="9">E34+NPV($K$5,F34:AK34)</f>
        <v>5232051.282051282</v>
      </c>
      <c r="E34" s="9">
        <f t="shared" ref="E34:AL34" si="10">IF(E18&gt;0,-E21-E24,0)</f>
        <v>3533333.3333333335</v>
      </c>
      <c r="F34" s="9">
        <f t="shared" si="10"/>
        <v>1766666.666666667</v>
      </c>
      <c r="G34" s="9">
        <f t="shared" si="10"/>
        <v>0</v>
      </c>
      <c r="H34" s="9">
        <f t="shared" si="10"/>
        <v>0</v>
      </c>
      <c r="I34" s="9">
        <f t="shared" si="10"/>
        <v>0</v>
      </c>
      <c r="J34" s="9">
        <f t="shared" si="10"/>
        <v>0</v>
      </c>
      <c r="K34" s="9">
        <f t="shared" si="10"/>
        <v>0</v>
      </c>
      <c r="L34" s="9">
        <f t="shared" si="10"/>
        <v>0</v>
      </c>
      <c r="M34" s="9">
        <f t="shared" si="10"/>
        <v>0</v>
      </c>
      <c r="N34" s="9">
        <f t="shared" si="10"/>
        <v>0</v>
      </c>
      <c r="O34" s="9">
        <f t="shared" si="10"/>
        <v>0</v>
      </c>
      <c r="P34" s="9">
        <f t="shared" si="10"/>
        <v>0</v>
      </c>
      <c r="Q34" s="9">
        <f t="shared" si="10"/>
        <v>0</v>
      </c>
      <c r="R34" s="9">
        <f t="shared" si="10"/>
        <v>0</v>
      </c>
      <c r="S34" s="9">
        <f t="shared" si="10"/>
        <v>0</v>
      </c>
      <c r="T34" s="9">
        <f t="shared" si="10"/>
        <v>0</v>
      </c>
      <c r="U34" s="9">
        <f t="shared" si="10"/>
        <v>0</v>
      </c>
      <c r="V34" s="9">
        <f t="shared" si="10"/>
        <v>0</v>
      </c>
      <c r="W34" s="9">
        <f t="shared" si="10"/>
        <v>0</v>
      </c>
      <c r="X34" s="9">
        <f t="shared" si="10"/>
        <v>0</v>
      </c>
      <c r="Y34" s="9">
        <f t="shared" si="10"/>
        <v>0</v>
      </c>
      <c r="Z34" s="9">
        <f t="shared" si="10"/>
        <v>0</v>
      </c>
      <c r="AA34" s="9">
        <f t="shared" si="10"/>
        <v>0</v>
      </c>
      <c r="AB34" s="9">
        <f t="shared" si="10"/>
        <v>0</v>
      </c>
      <c r="AC34" s="9">
        <f t="shared" si="10"/>
        <v>0</v>
      </c>
      <c r="AD34" s="9">
        <f t="shared" si="10"/>
        <v>0</v>
      </c>
      <c r="AE34" s="9">
        <f t="shared" si="10"/>
        <v>0</v>
      </c>
      <c r="AF34" s="9">
        <f t="shared" si="10"/>
        <v>0</v>
      </c>
      <c r="AG34" s="9">
        <f t="shared" si="10"/>
        <v>0</v>
      </c>
      <c r="AH34" s="9">
        <f t="shared" si="10"/>
        <v>0</v>
      </c>
      <c r="AI34" s="9">
        <f t="shared" si="10"/>
        <v>0</v>
      </c>
      <c r="AJ34" s="9">
        <f t="shared" si="10"/>
        <v>0</v>
      </c>
      <c r="AK34" s="9">
        <f t="shared" si="10"/>
        <v>0</v>
      </c>
      <c r="AL34" s="9">
        <f t="shared" si="10"/>
        <v>0</v>
      </c>
    </row>
    <row r="35" spans="1:38" x14ac:dyDescent="0.2">
      <c r="A35" t="s">
        <v>62</v>
      </c>
      <c r="B35" t="s">
        <v>52</v>
      </c>
      <c r="C35" t="b">
        <v>0</v>
      </c>
      <c r="D35" s="10">
        <f t="shared" si="9"/>
        <v>1427884.6153846153</v>
      </c>
      <c r="E35" s="9">
        <f>IF(E$19=ROUNDUP($B$14,0),$H$12*$H$7,0)</f>
        <v>0</v>
      </c>
      <c r="F35" s="9">
        <f t="shared" ref="F35:AL35" si="11">IF(F$19=ROUNDUP($B$14,0),$H$12*$H$7,0)</f>
        <v>1485000</v>
      </c>
      <c r="G35" s="9">
        <f t="shared" si="11"/>
        <v>0</v>
      </c>
      <c r="H35" s="9">
        <f t="shared" si="11"/>
        <v>0</v>
      </c>
      <c r="I35" s="9">
        <f t="shared" si="11"/>
        <v>0</v>
      </c>
      <c r="J35" s="9">
        <f t="shared" si="11"/>
        <v>0</v>
      </c>
      <c r="K35" s="9">
        <f t="shared" si="11"/>
        <v>0</v>
      </c>
      <c r="L35" s="9">
        <f t="shared" si="11"/>
        <v>0</v>
      </c>
      <c r="M35" s="9">
        <f t="shared" si="11"/>
        <v>0</v>
      </c>
      <c r="N35" s="9">
        <f t="shared" si="11"/>
        <v>0</v>
      </c>
      <c r="O35" s="9">
        <f t="shared" si="11"/>
        <v>0</v>
      </c>
      <c r="P35" s="9">
        <f t="shared" si="11"/>
        <v>0</v>
      </c>
      <c r="Q35" s="9">
        <f t="shared" si="11"/>
        <v>0</v>
      </c>
      <c r="R35" s="9">
        <f t="shared" si="11"/>
        <v>0</v>
      </c>
      <c r="S35" s="9">
        <f t="shared" si="11"/>
        <v>0</v>
      </c>
      <c r="T35" s="9">
        <f t="shared" si="11"/>
        <v>0</v>
      </c>
      <c r="U35" s="9">
        <f t="shared" si="11"/>
        <v>0</v>
      </c>
      <c r="V35" s="9">
        <f t="shared" si="11"/>
        <v>0</v>
      </c>
      <c r="W35" s="9">
        <f t="shared" si="11"/>
        <v>0</v>
      </c>
      <c r="X35" s="9">
        <f t="shared" si="11"/>
        <v>0</v>
      </c>
      <c r="Y35" s="9">
        <f t="shared" si="11"/>
        <v>0</v>
      </c>
      <c r="Z35" s="9">
        <f t="shared" si="11"/>
        <v>0</v>
      </c>
      <c r="AA35" s="9">
        <f t="shared" si="11"/>
        <v>0</v>
      </c>
      <c r="AB35" s="9">
        <f t="shared" si="11"/>
        <v>0</v>
      </c>
      <c r="AC35" s="9">
        <f t="shared" si="11"/>
        <v>0</v>
      </c>
      <c r="AD35" s="9">
        <f t="shared" si="11"/>
        <v>0</v>
      </c>
      <c r="AE35" s="9">
        <f t="shared" si="11"/>
        <v>0</v>
      </c>
      <c r="AF35" s="9">
        <f t="shared" si="11"/>
        <v>0</v>
      </c>
      <c r="AG35" s="9">
        <f t="shared" si="11"/>
        <v>0</v>
      </c>
      <c r="AH35" s="9">
        <f t="shared" si="11"/>
        <v>0</v>
      </c>
      <c r="AI35" s="9">
        <f t="shared" si="11"/>
        <v>0</v>
      </c>
      <c r="AJ35" s="9">
        <f t="shared" si="11"/>
        <v>0</v>
      </c>
      <c r="AK35" s="9">
        <f t="shared" si="11"/>
        <v>0</v>
      </c>
      <c r="AL35" s="9">
        <f t="shared" si="11"/>
        <v>0</v>
      </c>
    </row>
    <row r="36" spans="1:38" x14ac:dyDescent="0.2">
      <c r="A36" t="s">
        <v>63</v>
      </c>
      <c r="B36" t="s">
        <v>52</v>
      </c>
      <c r="C36" t="b">
        <v>0</v>
      </c>
      <c r="D36" s="10">
        <f t="shared" si="9"/>
        <v>2141826.923076923</v>
      </c>
      <c r="E36" s="9">
        <f>IF(E$19=ROUNDUP($B$14,0),$H$12*(1-$H$7),0)</f>
        <v>0</v>
      </c>
      <c r="F36" s="9">
        <f t="shared" ref="F36:AL36" si="12">IF(F$19=ROUNDUP($B$14,0),$H$12*(1-$H$7),0)</f>
        <v>2227500</v>
      </c>
      <c r="G36" s="9">
        <f t="shared" si="12"/>
        <v>0</v>
      </c>
      <c r="H36" s="9">
        <f t="shared" si="12"/>
        <v>0</v>
      </c>
      <c r="I36" s="9">
        <f t="shared" si="12"/>
        <v>0</v>
      </c>
      <c r="J36" s="9">
        <f t="shared" si="12"/>
        <v>0</v>
      </c>
      <c r="K36" s="9">
        <f t="shared" si="12"/>
        <v>0</v>
      </c>
      <c r="L36" s="9">
        <f t="shared" si="12"/>
        <v>0</v>
      </c>
      <c r="M36" s="9">
        <f t="shared" si="12"/>
        <v>0</v>
      </c>
      <c r="N36" s="9">
        <f t="shared" si="12"/>
        <v>0</v>
      </c>
      <c r="O36" s="9">
        <f t="shared" si="12"/>
        <v>0</v>
      </c>
      <c r="P36" s="9">
        <f t="shared" si="12"/>
        <v>0</v>
      </c>
      <c r="Q36" s="9">
        <f t="shared" si="12"/>
        <v>0</v>
      </c>
      <c r="R36" s="9">
        <f t="shared" si="12"/>
        <v>0</v>
      </c>
      <c r="S36" s="9">
        <f t="shared" si="12"/>
        <v>0</v>
      </c>
      <c r="T36" s="9">
        <f t="shared" si="12"/>
        <v>0</v>
      </c>
      <c r="U36" s="9">
        <f t="shared" si="12"/>
        <v>0</v>
      </c>
      <c r="V36" s="9">
        <f t="shared" si="12"/>
        <v>0</v>
      </c>
      <c r="W36" s="9">
        <f t="shared" si="12"/>
        <v>0</v>
      </c>
      <c r="X36" s="9">
        <f t="shared" si="12"/>
        <v>0</v>
      </c>
      <c r="Y36" s="9">
        <f t="shared" si="12"/>
        <v>0</v>
      </c>
      <c r="Z36" s="9">
        <f t="shared" si="12"/>
        <v>0</v>
      </c>
      <c r="AA36" s="9">
        <f t="shared" si="12"/>
        <v>0</v>
      </c>
      <c r="AB36" s="9">
        <f t="shared" si="12"/>
        <v>0</v>
      </c>
      <c r="AC36" s="9">
        <f t="shared" si="12"/>
        <v>0</v>
      </c>
      <c r="AD36" s="9">
        <f t="shared" si="12"/>
        <v>0</v>
      </c>
      <c r="AE36" s="9">
        <f t="shared" si="12"/>
        <v>0</v>
      </c>
      <c r="AF36" s="9">
        <f t="shared" si="12"/>
        <v>0</v>
      </c>
      <c r="AG36" s="9">
        <f t="shared" si="12"/>
        <v>0</v>
      </c>
      <c r="AH36" s="9">
        <f t="shared" si="12"/>
        <v>0</v>
      </c>
      <c r="AI36" s="9">
        <f t="shared" si="12"/>
        <v>0</v>
      </c>
      <c r="AJ36" s="9">
        <f t="shared" si="12"/>
        <v>0</v>
      </c>
      <c r="AK36" s="9">
        <f t="shared" si="12"/>
        <v>0</v>
      </c>
      <c r="AL36" s="9">
        <f t="shared" si="12"/>
        <v>0</v>
      </c>
    </row>
    <row r="37" spans="1:38" x14ac:dyDescent="0.2">
      <c r="A37" t="s">
        <v>64</v>
      </c>
      <c r="B37" t="s">
        <v>52</v>
      </c>
      <c r="C37" t="b">
        <v>0</v>
      </c>
      <c r="D37" s="10">
        <f t="shared" si="9"/>
        <v>1391478.13086304</v>
      </c>
      <c r="E37" s="9">
        <f>IF(E$19=ROUNDUP($B$14,0),$N$12,0)</f>
        <v>0</v>
      </c>
      <c r="F37" s="9">
        <f t="shared" ref="F37:AL37" si="13">IF(F$19=ROUNDUP($B$14,0),$N$12,0)</f>
        <v>1447137.2560975617</v>
      </c>
      <c r="G37" s="9">
        <f t="shared" si="13"/>
        <v>0</v>
      </c>
      <c r="H37" s="9">
        <f t="shared" si="13"/>
        <v>0</v>
      </c>
      <c r="I37" s="9">
        <f t="shared" si="13"/>
        <v>0</v>
      </c>
      <c r="J37" s="9">
        <f t="shared" si="13"/>
        <v>0</v>
      </c>
      <c r="K37" s="9">
        <f t="shared" si="13"/>
        <v>0</v>
      </c>
      <c r="L37" s="9">
        <f t="shared" si="13"/>
        <v>0</v>
      </c>
      <c r="M37" s="9">
        <f t="shared" si="13"/>
        <v>0</v>
      </c>
      <c r="N37" s="9">
        <f t="shared" si="13"/>
        <v>0</v>
      </c>
      <c r="O37" s="9">
        <f t="shared" si="13"/>
        <v>0</v>
      </c>
      <c r="P37" s="9">
        <f t="shared" si="13"/>
        <v>0</v>
      </c>
      <c r="Q37" s="9">
        <f t="shared" si="13"/>
        <v>0</v>
      </c>
      <c r="R37" s="9">
        <f t="shared" si="13"/>
        <v>0</v>
      </c>
      <c r="S37" s="9">
        <f t="shared" si="13"/>
        <v>0</v>
      </c>
      <c r="T37" s="9">
        <f t="shared" si="13"/>
        <v>0</v>
      </c>
      <c r="U37" s="9">
        <f t="shared" si="13"/>
        <v>0</v>
      </c>
      <c r="V37" s="9">
        <f t="shared" si="13"/>
        <v>0</v>
      </c>
      <c r="W37" s="9">
        <f t="shared" si="13"/>
        <v>0</v>
      </c>
      <c r="X37" s="9">
        <f t="shared" si="13"/>
        <v>0</v>
      </c>
      <c r="Y37" s="9">
        <f t="shared" si="13"/>
        <v>0</v>
      </c>
      <c r="Z37" s="9">
        <f t="shared" si="13"/>
        <v>0</v>
      </c>
      <c r="AA37" s="9">
        <f t="shared" si="13"/>
        <v>0</v>
      </c>
      <c r="AB37" s="9">
        <f t="shared" si="13"/>
        <v>0</v>
      </c>
      <c r="AC37" s="9">
        <f t="shared" si="13"/>
        <v>0</v>
      </c>
      <c r="AD37" s="9">
        <f t="shared" si="13"/>
        <v>0</v>
      </c>
      <c r="AE37" s="9">
        <f t="shared" si="13"/>
        <v>0</v>
      </c>
      <c r="AF37" s="9">
        <f t="shared" si="13"/>
        <v>0</v>
      </c>
      <c r="AG37" s="9">
        <f t="shared" si="13"/>
        <v>0</v>
      </c>
      <c r="AH37" s="9">
        <f t="shared" si="13"/>
        <v>0</v>
      </c>
      <c r="AI37" s="9">
        <f t="shared" si="13"/>
        <v>0</v>
      </c>
      <c r="AJ37" s="9">
        <f t="shared" si="13"/>
        <v>0</v>
      </c>
      <c r="AK37" s="9">
        <f t="shared" si="13"/>
        <v>0</v>
      </c>
      <c r="AL37" s="9">
        <f t="shared" si="13"/>
        <v>0</v>
      </c>
    </row>
    <row r="38" spans="1:38" x14ac:dyDescent="0.2">
      <c r="A38" t="s">
        <v>65</v>
      </c>
      <c r="B38" t="s">
        <v>52</v>
      </c>
      <c r="C38" t="b">
        <v>0</v>
      </c>
      <c r="D38" s="10">
        <f t="shared" si="9"/>
        <v>-4961189.6693245787</v>
      </c>
      <c r="E38" s="9">
        <f>IF(E$19=ROUNDUP($B$14,0),-$H$12-$N$12,0)</f>
        <v>0</v>
      </c>
      <c r="F38" s="9">
        <f>IF(F$19=ROUNDUP($B$14,0),-$H$12-$N$12,0)</f>
        <v>-5159637.2560975617</v>
      </c>
      <c r="G38" s="9">
        <f t="shared" ref="G38:AL38" si="14">IF(G$19=ROUNDUP($B$14,0),-$H$12-$N$12,0)</f>
        <v>0</v>
      </c>
      <c r="H38" s="9">
        <f t="shared" si="14"/>
        <v>0</v>
      </c>
      <c r="I38" s="9">
        <f t="shared" si="14"/>
        <v>0</v>
      </c>
      <c r="J38" s="9">
        <f t="shared" si="14"/>
        <v>0</v>
      </c>
      <c r="K38" s="9">
        <f t="shared" si="14"/>
        <v>0</v>
      </c>
      <c r="L38" s="9">
        <f t="shared" si="14"/>
        <v>0</v>
      </c>
      <c r="M38" s="9">
        <f t="shared" si="14"/>
        <v>0</v>
      </c>
      <c r="N38" s="9">
        <f t="shared" si="14"/>
        <v>0</v>
      </c>
      <c r="O38" s="9">
        <f t="shared" si="14"/>
        <v>0</v>
      </c>
      <c r="P38" s="9">
        <f t="shared" si="14"/>
        <v>0</v>
      </c>
      <c r="Q38" s="9">
        <f t="shared" si="14"/>
        <v>0</v>
      </c>
      <c r="R38" s="9">
        <f t="shared" si="14"/>
        <v>0</v>
      </c>
      <c r="S38" s="9">
        <f t="shared" si="14"/>
        <v>0</v>
      </c>
      <c r="T38" s="9">
        <f t="shared" si="14"/>
        <v>0</v>
      </c>
      <c r="U38" s="9">
        <f t="shared" si="14"/>
        <v>0</v>
      </c>
      <c r="V38" s="9">
        <f t="shared" si="14"/>
        <v>0</v>
      </c>
      <c r="W38" s="9">
        <f t="shared" si="14"/>
        <v>0</v>
      </c>
      <c r="X38" s="9">
        <f t="shared" si="14"/>
        <v>0</v>
      </c>
      <c r="Y38" s="9">
        <f t="shared" si="14"/>
        <v>0</v>
      </c>
      <c r="Z38" s="9">
        <f t="shared" si="14"/>
        <v>0</v>
      </c>
      <c r="AA38" s="9">
        <f t="shared" si="14"/>
        <v>0</v>
      </c>
      <c r="AB38" s="9">
        <f t="shared" si="14"/>
        <v>0</v>
      </c>
      <c r="AC38" s="9">
        <f t="shared" si="14"/>
        <v>0</v>
      </c>
      <c r="AD38" s="9">
        <f t="shared" si="14"/>
        <v>0</v>
      </c>
      <c r="AE38" s="9">
        <f t="shared" si="14"/>
        <v>0</v>
      </c>
      <c r="AF38" s="9">
        <f t="shared" si="14"/>
        <v>0</v>
      </c>
      <c r="AG38" s="9">
        <f t="shared" si="14"/>
        <v>0</v>
      </c>
      <c r="AH38" s="9">
        <f t="shared" si="14"/>
        <v>0</v>
      </c>
      <c r="AI38" s="9">
        <f t="shared" si="14"/>
        <v>0</v>
      </c>
      <c r="AJ38" s="9">
        <f t="shared" si="14"/>
        <v>0</v>
      </c>
      <c r="AK38" s="9">
        <f t="shared" si="14"/>
        <v>0</v>
      </c>
      <c r="AL38" s="9">
        <f t="shared" si="14"/>
        <v>0</v>
      </c>
    </row>
    <row r="39" spans="1:38" x14ac:dyDescent="0.2">
      <c r="A39" t="s">
        <v>66</v>
      </c>
      <c r="B39" t="s">
        <v>50</v>
      </c>
      <c r="C39" t="b">
        <v>1</v>
      </c>
      <c r="D39" s="10">
        <f t="shared" si="9"/>
        <v>4724942.5422138842</v>
      </c>
      <c r="E39" s="9">
        <f>-E38/(1+$B$11)</f>
        <v>0</v>
      </c>
      <c r="F39" s="9">
        <f t="shared" ref="F39:AL39" si="15">-F38/(1+$B$11)</f>
        <v>4913940.2439024393</v>
      </c>
      <c r="G39" s="9">
        <f t="shared" si="15"/>
        <v>0</v>
      </c>
      <c r="H39" s="9">
        <f t="shared" si="15"/>
        <v>0</v>
      </c>
      <c r="I39" s="9">
        <f t="shared" si="15"/>
        <v>0</v>
      </c>
      <c r="J39" s="9">
        <f t="shared" si="15"/>
        <v>0</v>
      </c>
      <c r="K39" s="9">
        <f t="shared" si="15"/>
        <v>0</v>
      </c>
      <c r="L39" s="9">
        <f t="shared" si="15"/>
        <v>0</v>
      </c>
      <c r="M39" s="9">
        <f t="shared" si="15"/>
        <v>0</v>
      </c>
      <c r="N39" s="9">
        <f t="shared" si="15"/>
        <v>0</v>
      </c>
      <c r="O39" s="9">
        <f t="shared" si="15"/>
        <v>0</v>
      </c>
      <c r="P39" s="9">
        <f t="shared" si="15"/>
        <v>0</v>
      </c>
      <c r="Q39" s="9">
        <f t="shared" si="15"/>
        <v>0</v>
      </c>
      <c r="R39" s="9">
        <f t="shared" si="15"/>
        <v>0</v>
      </c>
      <c r="S39" s="9">
        <f t="shared" si="15"/>
        <v>0</v>
      </c>
      <c r="T39" s="9">
        <f t="shared" si="15"/>
        <v>0</v>
      </c>
      <c r="U39" s="9">
        <f t="shared" si="15"/>
        <v>0</v>
      </c>
      <c r="V39" s="9">
        <f t="shared" si="15"/>
        <v>0</v>
      </c>
      <c r="W39" s="9">
        <f t="shared" si="15"/>
        <v>0</v>
      </c>
      <c r="X39" s="9">
        <f t="shared" si="15"/>
        <v>0</v>
      </c>
      <c r="Y39" s="9">
        <f t="shared" si="15"/>
        <v>0</v>
      </c>
      <c r="Z39" s="9">
        <f t="shared" si="15"/>
        <v>0</v>
      </c>
      <c r="AA39" s="9">
        <f t="shared" si="15"/>
        <v>0</v>
      </c>
      <c r="AB39" s="9">
        <f t="shared" si="15"/>
        <v>0</v>
      </c>
      <c r="AC39" s="9">
        <f t="shared" si="15"/>
        <v>0</v>
      </c>
      <c r="AD39" s="9">
        <f t="shared" si="15"/>
        <v>0</v>
      </c>
      <c r="AE39" s="9">
        <f t="shared" si="15"/>
        <v>0</v>
      </c>
      <c r="AF39" s="9">
        <f t="shared" si="15"/>
        <v>0</v>
      </c>
      <c r="AG39" s="9">
        <f t="shared" si="15"/>
        <v>0</v>
      </c>
      <c r="AH39" s="9">
        <f t="shared" si="15"/>
        <v>0</v>
      </c>
      <c r="AI39" s="9">
        <f t="shared" si="15"/>
        <v>0</v>
      </c>
      <c r="AJ39" s="9">
        <f t="shared" si="15"/>
        <v>0</v>
      </c>
      <c r="AK39" s="9">
        <f t="shared" si="15"/>
        <v>0</v>
      </c>
      <c r="AL39" s="9">
        <f t="shared" si="15"/>
        <v>0</v>
      </c>
    </row>
    <row r="40" spans="1:38" s="16" customFormat="1" x14ac:dyDescent="0.2">
      <c r="A40" s="15" t="s">
        <v>67</v>
      </c>
      <c r="B40" s="15" t="s">
        <v>50</v>
      </c>
      <c r="D40" s="19">
        <f t="shared" si="9"/>
        <v>236247.12711069419</v>
      </c>
      <c r="E40" s="18">
        <f t="shared" ref="E40:AL40" si="16">SUMIFS(E$34:E$39,$C$34:$C$39,TRUE)*$B$11</f>
        <v>0</v>
      </c>
      <c r="F40" s="18">
        <f t="shared" si="16"/>
        <v>245697.01219512196</v>
      </c>
      <c r="G40" s="18">
        <f t="shared" si="16"/>
        <v>0</v>
      </c>
      <c r="H40" s="18">
        <f t="shared" si="16"/>
        <v>0</v>
      </c>
      <c r="I40" s="18">
        <f t="shared" si="16"/>
        <v>0</v>
      </c>
      <c r="J40" s="18">
        <f t="shared" si="16"/>
        <v>0</v>
      </c>
      <c r="K40" s="18">
        <f t="shared" si="16"/>
        <v>0</v>
      </c>
      <c r="L40" s="18">
        <f t="shared" si="16"/>
        <v>0</v>
      </c>
      <c r="M40" s="18">
        <f t="shared" si="16"/>
        <v>0</v>
      </c>
      <c r="N40" s="18">
        <f t="shared" si="16"/>
        <v>0</v>
      </c>
      <c r="O40" s="18">
        <f t="shared" si="16"/>
        <v>0</v>
      </c>
      <c r="P40" s="18">
        <f t="shared" si="16"/>
        <v>0</v>
      </c>
      <c r="Q40" s="18">
        <f t="shared" si="16"/>
        <v>0</v>
      </c>
      <c r="R40" s="18">
        <f t="shared" si="16"/>
        <v>0</v>
      </c>
      <c r="S40" s="18">
        <f t="shared" si="16"/>
        <v>0</v>
      </c>
      <c r="T40" s="18">
        <f t="shared" si="16"/>
        <v>0</v>
      </c>
      <c r="U40" s="18">
        <f t="shared" si="16"/>
        <v>0</v>
      </c>
      <c r="V40" s="18">
        <f t="shared" si="16"/>
        <v>0</v>
      </c>
      <c r="W40" s="18">
        <f t="shared" si="16"/>
        <v>0</v>
      </c>
      <c r="X40" s="18">
        <f t="shared" si="16"/>
        <v>0</v>
      </c>
      <c r="Y40" s="18">
        <f t="shared" si="16"/>
        <v>0</v>
      </c>
      <c r="Z40" s="18">
        <f t="shared" si="16"/>
        <v>0</v>
      </c>
      <c r="AA40" s="18">
        <f t="shared" si="16"/>
        <v>0</v>
      </c>
      <c r="AB40" s="18">
        <f t="shared" si="16"/>
        <v>0</v>
      </c>
      <c r="AC40" s="18">
        <f t="shared" si="16"/>
        <v>0</v>
      </c>
      <c r="AD40" s="18">
        <f t="shared" si="16"/>
        <v>0</v>
      </c>
      <c r="AE40" s="18">
        <f t="shared" si="16"/>
        <v>0</v>
      </c>
      <c r="AF40" s="18">
        <f t="shared" si="16"/>
        <v>0</v>
      </c>
      <c r="AG40" s="18">
        <f t="shared" si="16"/>
        <v>0</v>
      </c>
      <c r="AH40" s="18">
        <f t="shared" si="16"/>
        <v>0</v>
      </c>
      <c r="AI40" s="18">
        <f t="shared" si="16"/>
        <v>0</v>
      </c>
      <c r="AJ40" s="18">
        <f t="shared" si="16"/>
        <v>0</v>
      </c>
      <c r="AK40" s="18">
        <f t="shared" si="16"/>
        <v>0</v>
      </c>
      <c r="AL40" s="18">
        <f t="shared" si="16"/>
        <v>0</v>
      </c>
    </row>
    <row r="41" spans="1:38" s="16" customFormat="1" x14ac:dyDescent="0.2">
      <c r="A41" s="21"/>
      <c r="B41" s="15"/>
      <c r="D41" s="19"/>
      <c r="E41"/>
      <c r="F41" s="22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</row>
    <row r="42" spans="1:38" x14ac:dyDescent="0.2">
      <c r="A42" s="8" t="s">
        <v>68</v>
      </c>
    </row>
    <row r="43" spans="1:38" s="16" customFormat="1" x14ac:dyDescent="0.2">
      <c r="A43" s="15" t="s">
        <v>69</v>
      </c>
      <c r="B43" s="16" t="b">
        <v>0</v>
      </c>
      <c r="C43" s="16" t="b">
        <v>0</v>
      </c>
      <c r="E43" s="18">
        <f>E34*0.5*$K$7*IF(E18=0,0,1)</f>
        <v>106000</v>
      </c>
      <c r="F43" s="18">
        <f>(SUM($E$34:E34)+F34*0.5)*$K$7*IF(F18=0,0,1)</f>
        <v>265000</v>
      </c>
      <c r="G43" s="18">
        <f>(SUM($E$34:F34)+G34*0.5)*$K$7*IF(G18=0,0,1)</f>
        <v>0</v>
      </c>
      <c r="H43" s="18">
        <f>(SUM($E$34:G34)+H34*0.5)*$K$7*IF(H18=0,0,1)</f>
        <v>0</v>
      </c>
      <c r="I43" s="18">
        <f>(SUM($E$34:H34)+I34*0.5)*$K$7*IF(I18=0,0,1)</f>
        <v>0</v>
      </c>
      <c r="J43" s="18">
        <f>(SUM($E$34:I34)+J34*0.5)*$K$7*IF(J18=0,0,1)</f>
        <v>0</v>
      </c>
      <c r="K43" s="18">
        <f>(SUM($E$34:J34)+K34*0.5)*$K$7*IF(K18=0,0,1)</f>
        <v>0</v>
      </c>
      <c r="L43" s="18">
        <f>(SUM($E$34:K34)+L34*0.5)*$K$7*IF(L18=0,0,1)</f>
        <v>0</v>
      </c>
      <c r="M43" s="18">
        <f>(SUM($E$34:L34)+M34*0.5)*$K$7*IF(M18=0,0,1)</f>
        <v>0</v>
      </c>
      <c r="N43" s="18">
        <f>(SUM($E$34:M34)+N34*0.5)*$K$7*IF(N18=0,0,1)</f>
        <v>0</v>
      </c>
      <c r="O43" s="18">
        <f>(SUM($E$34:N34)+O34*0.5)*$K$7*IF(O18=0,0,1)</f>
        <v>0</v>
      </c>
      <c r="P43" s="18">
        <f>(SUM($E$34:O34)+P34*0.5)*$K$7*IF(P18=0,0,1)</f>
        <v>0</v>
      </c>
      <c r="Q43" s="18">
        <f>(SUM($E$34:P34)+Q34*0.5)*$K$7*IF(Q18=0,0,1)</f>
        <v>0</v>
      </c>
      <c r="R43" s="18">
        <f>(SUM($E$34:Q34)+R34*0.5)*$K$7*IF(R18=0,0,1)</f>
        <v>0</v>
      </c>
      <c r="S43" s="18">
        <f>(SUM($E$34:R34)+S34*0.5)*$K$7*IF(S18=0,0,1)</f>
        <v>0</v>
      </c>
      <c r="T43" s="18">
        <f>(SUM($E$34:S34)+T34*0.5)*$K$7*IF(T18=0,0,1)</f>
        <v>0</v>
      </c>
      <c r="U43" s="18">
        <f>(SUM($E$34:T34)+U34*0.5)*$K$7*IF(U18=0,0,1)</f>
        <v>0</v>
      </c>
      <c r="V43" s="18">
        <f>(SUM($E$34:U34)+V34*0.5)*$K$7*IF(V18=0,0,1)</f>
        <v>0</v>
      </c>
      <c r="W43" s="18">
        <f>(SUM($E$34:V34)+W34*0.5)*$K$7*IF(W18=0,0,1)</f>
        <v>0</v>
      </c>
      <c r="X43" s="18">
        <f>(SUM($E$34:W34)+X34*0.5)*$K$7*IF(X18=0,0,1)</f>
        <v>0</v>
      </c>
      <c r="Y43" s="18">
        <f>(SUM($E$34:X34)+Y34*0.5)*$K$7*IF(Y18=0,0,1)</f>
        <v>0</v>
      </c>
      <c r="Z43" s="18">
        <f>(SUM($E$34:Y34)+Z34*0.5)*$K$7*IF(Z18=0,0,1)</f>
        <v>0</v>
      </c>
      <c r="AA43" s="18">
        <f>(SUM($E$34:Z34)+AA34*0.5)*$K$7*IF(AA18=0,0,1)</f>
        <v>0</v>
      </c>
      <c r="AB43" s="18">
        <f>(SUM($E$34:AA34)+AB34*0.5)*$K$7*IF(AB18=0,0,1)</f>
        <v>0</v>
      </c>
      <c r="AC43" s="18">
        <f>(SUM($E$34:AB34)+AC34*0.5)*$K$7*IF(AC18=0,0,1)</f>
        <v>0</v>
      </c>
      <c r="AD43" s="18">
        <f>(SUM($E$34:AC34)+AD34*0.5)*$K$7*IF(AD18=0,0,1)</f>
        <v>0</v>
      </c>
      <c r="AE43" s="18">
        <f>(SUM($E$34:AD34)+AE34*0.5)*$K$7*IF(AE18=0,0,1)</f>
        <v>0</v>
      </c>
      <c r="AF43" s="18">
        <f>(SUM($E$34:AE34)+AF34*0.5)*$K$7*IF(AF18=0,0,1)</f>
        <v>0</v>
      </c>
      <c r="AG43" s="18">
        <f>(SUM($E$34:AF34)+AG34*0.5)*$K$7*IF(AG18=0,0,1)</f>
        <v>0</v>
      </c>
      <c r="AH43" s="18">
        <f>(SUM($E$34:AG34)+AH34*0.5)*$K$7*IF(AH18=0,0,1)</f>
        <v>0</v>
      </c>
      <c r="AI43" s="18">
        <f>(SUM($E$34:AH34)+AI34*0.5)*$K$7*IF(AI18=0,0,1)</f>
        <v>0</v>
      </c>
      <c r="AJ43" s="18">
        <f>(SUM($E$34:AI34)+AJ34*0.5)*$K$7*IF(AJ18=0,0,1)</f>
        <v>0</v>
      </c>
      <c r="AK43" s="18">
        <f>(SUM($E$34:AJ34)+AK34*0.5)*$K$7*IF(AK18=0,0,1)</f>
        <v>0</v>
      </c>
      <c r="AL43" s="18">
        <f>(SUM($E$34:AK34)+AL34*0.5)*$K$7*IF(AL18=0,0,1)</f>
        <v>0</v>
      </c>
    </row>
    <row r="44" spans="1:38" x14ac:dyDescent="0.2">
      <c r="A44" t="s">
        <v>70</v>
      </c>
      <c r="B44" t="s">
        <v>50</v>
      </c>
      <c r="C44" t="b">
        <v>0</v>
      </c>
      <c r="D44" s="10">
        <f>E44+NPV($K$5,F44:AK44)</f>
        <v>-5452884.615384615</v>
      </c>
      <c r="E44" s="9">
        <f t="shared" ref="E44:AL44" si="17">-IF(E19=ROUNDUP($B$14,0),SUM($E$34:$AL$34,$E$43:$AL$43),0)</f>
        <v>0</v>
      </c>
      <c r="F44" s="9">
        <f t="shared" si="17"/>
        <v>-5671000</v>
      </c>
      <c r="G44" s="9">
        <f t="shared" si="17"/>
        <v>0</v>
      </c>
      <c r="H44" s="9">
        <f t="shared" si="17"/>
        <v>0</v>
      </c>
      <c r="I44" s="9">
        <f t="shared" si="17"/>
        <v>0</v>
      </c>
      <c r="J44" s="9">
        <f t="shared" si="17"/>
        <v>0</v>
      </c>
      <c r="K44" s="9">
        <f t="shared" si="17"/>
        <v>0</v>
      </c>
      <c r="L44" s="9">
        <f t="shared" si="17"/>
        <v>0</v>
      </c>
      <c r="M44" s="9">
        <f t="shared" si="17"/>
        <v>0</v>
      </c>
      <c r="N44" s="9">
        <f t="shared" si="17"/>
        <v>0</v>
      </c>
      <c r="O44" s="9">
        <f t="shared" si="17"/>
        <v>0</v>
      </c>
      <c r="P44" s="9">
        <f t="shared" si="17"/>
        <v>0</v>
      </c>
      <c r="Q44" s="9">
        <f t="shared" si="17"/>
        <v>0</v>
      </c>
      <c r="R44" s="9">
        <f t="shared" si="17"/>
        <v>0</v>
      </c>
      <c r="S44" s="9">
        <f t="shared" si="17"/>
        <v>0</v>
      </c>
      <c r="T44" s="9">
        <f t="shared" si="17"/>
        <v>0</v>
      </c>
      <c r="U44" s="9">
        <f t="shared" si="17"/>
        <v>0</v>
      </c>
      <c r="V44" s="9">
        <f t="shared" si="17"/>
        <v>0</v>
      </c>
      <c r="W44" s="9">
        <f t="shared" si="17"/>
        <v>0</v>
      </c>
      <c r="X44" s="9">
        <f t="shared" si="17"/>
        <v>0</v>
      </c>
      <c r="Y44" s="9">
        <f t="shared" si="17"/>
        <v>0</v>
      </c>
      <c r="Z44" s="9">
        <f t="shared" si="17"/>
        <v>0</v>
      </c>
      <c r="AA44" s="9">
        <f t="shared" si="17"/>
        <v>0</v>
      </c>
      <c r="AB44" s="9">
        <f t="shared" si="17"/>
        <v>0</v>
      </c>
      <c r="AC44" s="9">
        <f t="shared" si="17"/>
        <v>0</v>
      </c>
      <c r="AD44" s="9">
        <f t="shared" si="17"/>
        <v>0</v>
      </c>
      <c r="AE44" s="9">
        <f t="shared" si="17"/>
        <v>0</v>
      </c>
      <c r="AF44" s="9">
        <f t="shared" si="17"/>
        <v>0</v>
      </c>
      <c r="AG44" s="9">
        <f t="shared" si="17"/>
        <v>0</v>
      </c>
      <c r="AH44" s="9">
        <f t="shared" si="17"/>
        <v>0</v>
      </c>
      <c r="AI44" s="9">
        <f t="shared" si="17"/>
        <v>0</v>
      </c>
      <c r="AJ44" s="9">
        <f t="shared" si="17"/>
        <v>0</v>
      </c>
      <c r="AK44" s="9">
        <f t="shared" si="17"/>
        <v>0</v>
      </c>
      <c r="AL44" s="9">
        <f t="shared" si="17"/>
        <v>0</v>
      </c>
    </row>
    <row r="45" spans="1:38" x14ac:dyDescent="0.2">
      <c r="A45" t="s">
        <v>71</v>
      </c>
      <c r="B45" t="s">
        <v>52</v>
      </c>
      <c r="C45" t="b">
        <v>0</v>
      </c>
      <c r="D45" s="10">
        <f>E45+NPV($K$5,F45:AK45)</f>
        <v>-803175.96898757899</v>
      </c>
      <c r="E45" s="9">
        <f>IF(E$19&gt;ROUNDUP($B$14,0),IF(E46&lt;&gt;-0.01,PPMT($K$5,E$19-ROUNDUP($B$14,0),$K$6,$N$12),0.01),0)</f>
        <v>0</v>
      </c>
      <c r="F45" s="9">
        <f t="shared" ref="F45:AL45" si="18">IF(F19&gt;ROUNDUP($B$14,0),IF(F46&lt;&gt;-0.01,PPMT($K$5,F$19-ROUNDUP($B$14,0),$K$6,$N$12),0.01),0)</f>
        <v>0</v>
      </c>
      <c r="G45" s="9">
        <f t="shared" si="18"/>
        <v>-34748.605940306683</v>
      </c>
      <c r="H45" s="9">
        <f t="shared" si="18"/>
        <v>-36138.550177918951</v>
      </c>
      <c r="I45" s="9">
        <f t="shared" si="18"/>
        <v>-37584.092185035712</v>
      </c>
      <c r="J45" s="9">
        <f t="shared" si="18"/>
        <v>-39087.455872437138</v>
      </c>
      <c r="K45" s="9">
        <f t="shared" si="18"/>
        <v>-40650.954107334626</v>
      </c>
      <c r="L45" s="9">
        <f t="shared" si="18"/>
        <v>-42276.992271628005</v>
      </c>
      <c r="M45" s="9">
        <f t="shared" si="18"/>
        <v>-43968.07196249313</v>
      </c>
      <c r="N45" s="9">
        <f t="shared" si="18"/>
        <v>-45726.794840992858</v>
      </c>
      <c r="O45" s="9">
        <f t="shared" si="18"/>
        <v>-47555.866634632563</v>
      </c>
      <c r="P45" s="9">
        <f t="shared" si="18"/>
        <v>-49458.101300017872</v>
      </c>
      <c r="Q45" s="9">
        <f t="shared" si="18"/>
        <v>-51436.425352018588</v>
      </c>
      <c r="R45" s="9">
        <f t="shared" si="18"/>
        <v>-53493.882366099329</v>
      </c>
      <c r="S45" s="9">
        <f t="shared" si="18"/>
        <v>-55633.637660743298</v>
      </c>
      <c r="T45" s="9">
        <f t="shared" si="18"/>
        <v>-57858.983167173035</v>
      </c>
      <c r="U45" s="9">
        <f t="shared" si="18"/>
        <v>-60173.342493859956</v>
      </c>
      <c r="V45" s="9">
        <f t="shared" si="18"/>
        <v>-62580.276193614351</v>
      </c>
      <c r="W45" s="9">
        <f t="shared" si="18"/>
        <v>-65083.487241358926</v>
      </c>
      <c r="X45" s="9">
        <f t="shared" si="18"/>
        <v>-67686.82673101328</v>
      </c>
      <c r="Y45" s="9">
        <f t="shared" si="18"/>
        <v>-70394.299800253822</v>
      </c>
      <c r="Z45" s="9">
        <f t="shared" si="18"/>
        <v>-73210.071792263974</v>
      </c>
      <c r="AA45" s="9">
        <f t="shared" si="18"/>
        <v>-76138.474663954534</v>
      </c>
      <c r="AB45" s="9">
        <f t="shared" si="18"/>
        <v>-79184.013650512701</v>
      </c>
      <c r="AC45" s="9">
        <f t="shared" si="18"/>
        <v>-82351.374196533216</v>
      </c>
      <c r="AD45" s="9">
        <f t="shared" si="18"/>
        <v>-85645.429164394547</v>
      </c>
      <c r="AE45" s="9">
        <f t="shared" si="18"/>
        <v>-89071.246330970316</v>
      </c>
      <c r="AF45" s="9">
        <f t="shared" si="18"/>
        <v>0.01</v>
      </c>
      <c r="AG45" s="9">
        <f t="shared" si="18"/>
        <v>0.01</v>
      </c>
      <c r="AH45" s="9">
        <f t="shared" si="18"/>
        <v>0.01</v>
      </c>
      <c r="AI45" s="9">
        <f t="shared" si="18"/>
        <v>0.01</v>
      </c>
      <c r="AJ45" s="9">
        <f t="shared" si="18"/>
        <v>0.01</v>
      </c>
      <c r="AK45" s="9">
        <f t="shared" si="18"/>
        <v>0.01</v>
      </c>
      <c r="AL45" s="9">
        <f t="shared" si="18"/>
        <v>0.01</v>
      </c>
    </row>
    <row r="46" spans="1:38" x14ac:dyDescent="0.2">
      <c r="A46" t="s">
        <v>72</v>
      </c>
      <c r="B46" t="s">
        <v>52</v>
      </c>
      <c r="C46" t="b">
        <v>0</v>
      </c>
      <c r="D46" s="10">
        <f>E46+NPV($K$5,F46:AK46)</f>
        <v>-588302.16187546076</v>
      </c>
      <c r="E46" s="9">
        <f>IF(E$19&gt;ROUNDUP($B$14,0),IFERROR(IPMT($K$5,E$19-ROUNDUP($B$14,0),$K$6,$N$12),-0.01),0)</f>
        <v>0</v>
      </c>
      <c r="F46" s="9">
        <f t="shared" ref="F46:AL46" si="19">IF(F$19&gt;ROUNDUP($B$14,0),IFERROR(IPMT($K$5,F$19-ROUNDUP($B$14,0),$K$6,$N$12),-0.01),0)</f>
        <v>0</v>
      </c>
      <c r="G46" s="9">
        <f t="shared" si="19"/>
        <v>-57885.490243902466</v>
      </c>
      <c r="H46" s="9">
        <f t="shared" si="19"/>
        <v>-56495.546006290177</v>
      </c>
      <c r="I46" s="9">
        <f t="shared" si="19"/>
        <v>-55050.00399917343</v>
      </c>
      <c r="J46" s="9">
        <f t="shared" si="19"/>
        <v>-53546.640311771996</v>
      </c>
      <c r="K46" s="9">
        <f t="shared" si="19"/>
        <v>-51983.142076874516</v>
      </c>
      <c r="L46" s="9">
        <f t="shared" si="19"/>
        <v>-50357.103912581129</v>
      </c>
      <c r="M46" s="9">
        <f t="shared" si="19"/>
        <v>-48666.024221716012</v>
      </c>
      <c r="N46" s="9">
        <f t="shared" si="19"/>
        <v>-46907.301343216284</v>
      </c>
      <c r="O46" s="9">
        <f t="shared" si="19"/>
        <v>-45078.229549576565</v>
      </c>
      <c r="P46" s="9">
        <f t="shared" si="19"/>
        <v>-43175.99488419127</v>
      </c>
      <c r="Q46" s="9">
        <f t="shared" si="19"/>
        <v>-41197.670832190553</v>
      </c>
      <c r="R46" s="9">
        <f t="shared" si="19"/>
        <v>-39140.213818109813</v>
      </c>
      <c r="S46" s="9">
        <f t="shared" si="19"/>
        <v>-37000.458523465844</v>
      </c>
      <c r="T46" s="9">
        <f t="shared" si="19"/>
        <v>-34775.113017036107</v>
      </c>
      <c r="U46" s="9">
        <f t="shared" si="19"/>
        <v>-32460.753690349185</v>
      </c>
      <c r="V46" s="9">
        <f t="shared" si="19"/>
        <v>-30053.819990594784</v>
      </c>
      <c r="W46" s="9">
        <f t="shared" si="19"/>
        <v>-27550.608942850209</v>
      </c>
      <c r="X46" s="9">
        <f t="shared" si="19"/>
        <v>-24947.269453195855</v>
      </c>
      <c r="Y46" s="9">
        <f t="shared" si="19"/>
        <v>-22239.796383955319</v>
      </c>
      <c r="Z46" s="9">
        <f t="shared" si="19"/>
        <v>-19424.024391945171</v>
      </c>
      <c r="AA46" s="9">
        <f t="shared" si="19"/>
        <v>-16495.621520254612</v>
      </c>
      <c r="AB46" s="9">
        <f t="shared" si="19"/>
        <v>-13450.082533696432</v>
      </c>
      <c r="AC46" s="9">
        <f t="shared" si="19"/>
        <v>-10282.721987675923</v>
      </c>
      <c r="AD46" s="9">
        <f t="shared" si="19"/>
        <v>-6988.6670198145939</v>
      </c>
      <c r="AE46" s="9">
        <f t="shared" si="19"/>
        <v>-3562.8498532388135</v>
      </c>
      <c r="AF46" s="9">
        <f t="shared" si="19"/>
        <v>-0.01</v>
      </c>
      <c r="AG46" s="9">
        <f t="shared" si="19"/>
        <v>-0.01</v>
      </c>
      <c r="AH46" s="9">
        <f t="shared" si="19"/>
        <v>-0.01</v>
      </c>
      <c r="AI46" s="9">
        <f t="shared" si="19"/>
        <v>-0.01</v>
      </c>
      <c r="AJ46" s="9">
        <f t="shared" si="19"/>
        <v>-0.01</v>
      </c>
      <c r="AK46" s="9">
        <f t="shared" si="19"/>
        <v>-0.01</v>
      </c>
      <c r="AL46" s="9">
        <f t="shared" si="19"/>
        <v>-0.01</v>
      </c>
    </row>
    <row r="47" spans="1:38" x14ac:dyDescent="0.2">
      <c r="A47" t="s">
        <v>73</v>
      </c>
      <c r="B47" t="s">
        <v>52</v>
      </c>
      <c r="C47" t="b">
        <v>0</v>
      </c>
      <c r="D47" s="10">
        <f>E47+NPV($K$5,F47:AK47)</f>
        <v>-871019.50517507107</v>
      </c>
      <c r="E47" s="9">
        <f>IF(E$19&gt;ROUNDUP($B$14,0),IF(E48&lt;&gt;-0.01,PPMT($H$5,E$19-ROUNDUP($B$14,0),$H$6,$H$12*(1-$H$7)),0.01),0)</f>
        <v>0</v>
      </c>
      <c r="F47" s="9">
        <f t="shared" ref="F47:AL47" si="20">IF(F$19&gt;ROUNDUP($B$14,0),IF(F48&lt;&gt;-0.01,PPMT($H$5,F$19-ROUNDUP($B$14,0),$H$6,$H$12*(1-$H$7)),0.01),0)</f>
        <v>0</v>
      </c>
      <c r="G47" s="9">
        <f t="shared" si="20"/>
        <v>-45564.844494606441</v>
      </c>
      <c r="H47" s="9">
        <f t="shared" si="20"/>
        <v>-46020.492939552511</v>
      </c>
      <c r="I47" s="9">
        <f t="shared" si="20"/>
        <v>-46480.697868948038</v>
      </c>
      <c r="J47" s="9">
        <f t="shared" si="20"/>
        <v>-46945.504847637516</v>
      </c>
      <c r="K47" s="9">
        <f t="shared" si="20"/>
        <v>-47414.959896113891</v>
      </c>
      <c r="L47" s="9">
        <f t="shared" si="20"/>
        <v>-47889.109495075019</v>
      </c>
      <c r="M47" s="9">
        <f t="shared" si="20"/>
        <v>-48368.000590025775</v>
      </c>
      <c r="N47" s="9">
        <f t="shared" si="20"/>
        <v>-48851.680595926038</v>
      </c>
      <c r="O47" s="9">
        <f t="shared" si="20"/>
        <v>-49340.197401885292</v>
      </c>
      <c r="P47" s="9">
        <f t="shared" si="20"/>
        <v>-49833.599375904145</v>
      </c>
      <c r="Q47" s="9">
        <f t="shared" si="20"/>
        <v>-50331.935369663195</v>
      </c>
      <c r="R47" s="9">
        <f t="shared" si="20"/>
        <v>-50835.254723359823</v>
      </c>
      <c r="S47" s="9">
        <f t="shared" si="20"/>
        <v>-51343.60727059342</v>
      </c>
      <c r="T47" s="9">
        <f t="shared" si="20"/>
        <v>-51857.04334329936</v>
      </c>
      <c r="U47" s="9">
        <f t="shared" si="20"/>
        <v>-52375.613776732353</v>
      </c>
      <c r="V47" s="9">
        <f t="shared" si="20"/>
        <v>-52899.369914499672</v>
      </c>
      <c r="W47" s="9">
        <f t="shared" si="20"/>
        <v>-53428.363613644666</v>
      </c>
      <c r="X47" s="9">
        <f t="shared" si="20"/>
        <v>-53962.647249781119</v>
      </c>
      <c r="Y47" s="9">
        <f t="shared" si="20"/>
        <v>-54502.273722278922</v>
      </c>
      <c r="Z47" s="9">
        <f t="shared" si="20"/>
        <v>-55047.296459501711</v>
      </c>
      <c r="AA47" s="9">
        <f t="shared" si="20"/>
        <v>-55597.769424096732</v>
      </c>
      <c r="AB47" s="9">
        <f t="shared" si="20"/>
        <v>-56153.747118337698</v>
      </c>
      <c r="AC47" s="9">
        <f t="shared" si="20"/>
        <v>-56715.284589521078</v>
      </c>
      <c r="AD47" s="9">
        <f t="shared" si="20"/>
        <v>-57282.437435416279</v>
      </c>
      <c r="AE47" s="9">
        <f t="shared" si="20"/>
        <v>-57855.261809770454</v>
      </c>
      <c r="AF47" s="9">
        <f t="shared" si="20"/>
        <v>-58433.814427868158</v>
      </c>
      <c r="AG47" s="9">
        <f t="shared" si="20"/>
        <v>-59018.152572146842</v>
      </c>
      <c r="AH47" s="9">
        <f t="shared" si="20"/>
        <v>-59608.334097868305</v>
      </c>
      <c r="AI47" s="9">
        <f t="shared" si="20"/>
        <v>-60204.417438846984</v>
      </c>
      <c r="AJ47" s="9">
        <f t="shared" si="20"/>
        <v>-60806.461613235464</v>
      </c>
      <c r="AK47" s="9">
        <f t="shared" si="20"/>
        <v>-61414.526229367817</v>
      </c>
      <c r="AL47" s="9">
        <f t="shared" si="20"/>
        <v>-62028.671491661495</v>
      </c>
    </row>
    <row r="48" spans="1:38" x14ac:dyDescent="0.2">
      <c r="A48" t="s">
        <v>74</v>
      </c>
      <c r="B48" t="s">
        <v>52</v>
      </c>
      <c r="C48" t="b">
        <v>0</v>
      </c>
      <c r="D48" s="10">
        <f>E48+NPV($K$5,F48:AK48)</f>
        <v>-276288.82933606062</v>
      </c>
      <c r="E48" s="9">
        <f>IF(E$19&gt;ROUNDUP($B$14,0),IFERROR(IPMT($H$5,E$19-ROUNDUP($B$14,0),$H$6,$H$12*(1-$H$7)),-0.01),0)</f>
        <v>0</v>
      </c>
      <c r="F48" s="9">
        <f t="shared" ref="F48:AL48" si="21">IF(F$19&gt;ROUNDUP($B$14,0),IFERROR(IPMT($H$5,F$19-ROUNDUP($B$14,0),$H$6,$H$12*(1-$H$7)),-0.01),0)</f>
        <v>0</v>
      </c>
      <c r="G48" s="9">
        <f t="shared" si="21"/>
        <v>-22275</v>
      </c>
      <c r="H48" s="9">
        <f t="shared" si="21"/>
        <v>-21819.351555053938</v>
      </c>
      <c r="I48" s="9">
        <f t="shared" si="21"/>
        <v>-21359.14662565841</v>
      </c>
      <c r="J48" s="9">
        <f t="shared" si="21"/>
        <v>-20894.339646968932</v>
      </c>
      <c r="K48" s="9">
        <f t="shared" si="21"/>
        <v>-20424.884598492557</v>
      </c>
      <c r="L48" s="9">
        <f t="shared" si="21"/>
        <v>-19950.734999531418</v>
      </c>
      <c r="M48" s="9">
        <f t="shared" si="21"/>
        <v>-19471.84390458067</v>
      </c>
      <c r="N48" s="9">
        <f t="shared" si="21"/>
        <v>-18988.16389868041</v>
      </c>
      <c r="O48" s="9">
        <f t="shared" si="21"/>
        <v>-18499.647092721145</v>
      </c>
      <c r="P48" s="9">
        <f t="shared" si="21"/>
        <v>-18006.245118702296</v>
      </c>
      <c r="Q48" s="9">
        <f t="shared" si="21"/>
        <v>-17507.909124943249</v>
      </c>
      <c r="R48" s="9">
        <f t="shared" si="21"/>
        <v>-17004.589771246625</v>
      </c>
      <c r="S48" s="9">
        <f t="shared" si="21"/>
        <v>-16496.237224013024</v>
      </c>
      <c r="T48" s="9">
        <f t="shared" si="21"/>
        <v>-15982.801151307089</v>
      </c>
      <c r="U48" s="9">
        <f t="shared" si="21"/>
        <v>-15464.230717874099</v>
      </c>
      <c r="V48" s="9">
        <f t="shared" si="21"/>
        <v>-14940.474580106773</v>
      </c>
      <c r="W48" s="9">
        <f t="shared" si="21"/>
        <v>-14411.480880961775</v>
      </c>
      <c r="X48" s="9">
        <f t="shared" si="21"/>
        <v>-13877.197244825329</v>
      </c>
      <c r="Y48" s="9">
        <f t="shared" si="21"/>
        <v>-13337.570772327521</v>
      </c>
      <c r="Z48" s="9">
        <f t="shared" si="21"/>
        <v>-12792.54803510473</v>
      </c>
      <c r="AA48" s="9">
        <f t="shared" si="21"/>
        <v>-12242.075070509713</v>
      </c>
      <c r="AB48" s="9">
        <f t="shared" si="21"/>
        <v>-11686.097376268744</v>
      </c>
      <c r="AC48" s="9">
        <f t="shared" si="21"/>
        <v>-11124.559905085365</v>
      </c>
      <c r="AD48" s="9">
        <f t="shared" si="21"/>
        <v>-10557.407059190156</v>
      </c>
      <c r="AE48" s="9">
        <f t="shared" si="21"/>
        <v>-9984.5826848359939</v>
      </c>
      <c r="AF48" s="9">
        <f t="shared" si="21"/>
        <v>-9406.0300667382853</v>
      </c>
      <c r="AG48" s="9">
        <f t="shared" si="21"/>
        <v>-8821.6919224596058</v>
      </c>
      <c r="AH48" s="9">
        <f t="shared" si="21"/>
        <v>-8231.5103967381383</v>
      </c>
      <c r="AI48" s="9">
        <f t="shared" si="21"/>
        <v>-7635.4270557594546</v>
      </c>
      <c r="AJ48" s="9">
        <f t="shared" si="21"/>
        <v>-7033.3828813709843</v>
      </c>
      <c r="AK48" s="9">
        <f t="shared" si="21"/>
        <v>-6425.3182652386295</v>
      </c>
      <c r="AL48" s="9">
        <f t="shared" si="21"/>
        <v>-5811.1730029449518</v>
      </c>
    </row>
    <row r="50" spans="1:38" x14ac:dyDescent="0.2">
      <c r="A50" s="8" t="s">
        <v>75</v>
      </c>
    </row>
    <row r="51" spans="1:38" s="16" customFormat="1" x14ac:dyDescent="0.2">
      <c r="A51" s="16" t="s">
        <v>76</v>
      </c>
      <c r="C51" s="16" t="b">
        <v>0</v>
      </c>
      <c r="D51" s="19">
        <f t="shared" ref="D51:D52" si="22">E51+NPV($K$5,F51:AK51)</f>
        <v>713561.46695250238</v>
      </c>
      <c r="E51" s="18">
        <v>0</v>
      </c>
      <c r="F51" s="18">
        <f>-E24-E40</f>
        <v>660704.60704607051</v>
      </c>
      <c r="G51" s="18">
        <f>-F24-F40</f>
        <v>84655.29132791335</v>
      </c>
      <c r="H51" s="18">
        <f t="shared" ref="H51:AL51" si="23">-G24-G40</f>
        <v>0</v>
      </c>
      <c r="I51" s="18">
        <f t="shared" si="23"/>
        <v>0</v>
      </c>
      <c r="J51" s="18">
        <f t="shared" si="23"/>
        <v>0</v>
      </c>
      <c r="K51" s="18">
        <f t="shared" si="23"/>
        <v>0</v>
      </c>
      <c r="L51" s="18">
        <f t="shared" si="23"/>
        <v>0</v>
      </c>
      <c r="M51" s="18">
        <f t="shared" si="23"/>
        <v>0</v>
      </c>
      <c r="N51" s="18">
        <f t="shared" si="23"/>
        <v>0</v>
      </c>
      <c r="O51" s="18">
        <f t="shared" si="23"/>
        <v>0</v>
      </c>
      <c r="P51" s="18">
        <f t="shared" si="23"/>
        <v>0</v>
      </c>
      <c r="Q51" s="18">
        <f t="shared" si="23"/>
        <v>0</v>
      </c>
      <c r="R51" s="18">
        <f t="shared" si="23"/>
        <v>0</v>
      </c>
      <c r="S51" s="18">
        <f t="shared" si="23"/>
        <v>0</v>
      </c>
      <c r="T51" s="18">
        <f t="shared" si="23"/>
        <v>0</v>
      </c>
      <c r="U51" s="18">
        <f t="shared" si="23"/>
        <v>0</v>
      </c>
      <c r="V51" s="18">
        <f t="shared" si="23"/>
        <v>0</v>
      </c>
      <c r="W51" s="18">
        <f t="shared" si="23"/>
        <v>0</v>
      </c>
      <c r="X51" s="18">
        <f t="shared" si="23"/>
        <v>0</v>
      </c>
      <c r="Y51" s="18">
        <f t="shared" si="23"/>
        <v>0</v>
      </c>
      <c r="Z51" s="18">
        <f t="shared" si="23"/>
        <v>0</v>
      </c>
      <c r="AA51" s="18">
        <f t="shared" si="23"/>
        <v>0</v>
      </c>
      <c r="AB51" s="18">
        <f t="shared" si="23"/>
        <v>0</v>
      </c>
      <c r="AC51" s="18">
        <f t="shared" si="23"/>
        <v>0</v>
      </c>
      <c r="AD51" s="18">
        <f t="shared" si="23"/>
        <v>0</v>
      </c>
      <c r="AE51" s="18">
        <f t="shared" si="23"/>
        <v>0</v>
      </c>
      <c r="AF51" s="18">
        <f t="shared" si="23"/>
        <v>0</v>
      </c>
      <c r="AG51" s="18">
        <f t="shared" si="23"/>
        <v>0</v>
      </c>
      <c r="AH51" s="18">
        <f t="shared" si="23"/>
        <v>0</v>
      </c>
      <c r="AI51" s="18">
        <f t="shared" si="23"/>
        <v>0</v>
      </c>
      <c r="AJ51" s="18">
        <f t="shared" si="23"/>
        <v>0</v>
      </c>
      <c r="AK51" s="18">
        <f t="shared" si="23"/>
        <v>0</v>
      </c>
      <c r="AL51" s="18">
        <f t="shared" si="23"/>
        <v>0</v>
      </c>
    </row>
    <row r="52" spans="1:38" x14ac:dyDescent="0.2">
      <c r="A52" t="s">
        <v>77</v>
      </c>
      <c r="B52" t="s">
        <v>50</v>
      </c>
      <c r="C52" t="b">
        <v>0</v>
      </c>
      <c r="D52" s="12">
        <f t="shared" si="22"/>
        <v>5674751.1362770805</v>
      </c>
      <c r="E52" s="11">
        <f t="shared" ref="E52:AL52" si="24">SUMIFS(E$21:E$40,$B$21:$B$40,$B52)+E51</f>
        <v>0</v>
      </c>
      <c r="F52" s="11">
        <f t="shared" si="24"/>
        <v>5820341.8631436313</v>
      </c>
      <c r="G52" s="11">
        <f t="shared" si="24"/>
        <v>84655.29132791335</v>
      </c>
      <c r="H52" s="11">
        <f t="shared" si="24"/>
        <v>0</v>
      </c>
      <c r="I52" s="11">
        <f t="shared" si="24"/>
        <v>0</v>
      </c>
      <c r="J52" s="11">
        <f t="shared" si="24"/>
        <v>0</v>
      </c>
      <c r="K52" s="11">
        <f t="shared" si="24"/>
        <v>0</v>
      </c>
      <c r="L52" s="11">
        <f t="shared" si="24"/>
        <v>0</v>
      </c>
      <c r="M52" s="11">
        <f t="shared" si="24"/>
        <v>0</v>
      </c>
      <c r="N52" s="11">
        <f t="shared" si="24"/>
        <v>0</v>
      </c>
      <c r="O52" s="11">
        <f t="shared" si="24"/>
        <v>0</v>
      </c>
      <c r="P52" s="11">
        <f t="shared" si="24"/>
        <v>0</v>
      </c>
      <c r="Q52" s="11">
        <f t="shared" si="24"/>
        <v>0</v>
      </c>
      <c r="R52" s="11">
        <f t="shared" si="24"/>
        <v>0</v>
      </c>
      <c r="S52" s="11">
        <f t="shared" si="24"/>
        <v>0</v>
      </c>
      <c r="T52" s="11">
        <f t="shared" si="24"/>
        <v>0</v>
      </c>
      <c r="U52" s="11">
        <f t="shared" si="24"/>
        <v>0</v>
      </c>
      <c r="V52" s="11">
        <f t="shared" si="24"/>
        <v>0</v>
      </c>
      <c r="W52" s="11">
        <f t="shared" si="24"/>
        <v>0</v>
      </c>
      <c r="X52" s="11">
        <f t="shared" si="24"/>
        <v>0</v>
      </c>
      <c r="Y52" s="11">
        <f t="shared" si="24"/>
        <v>0</v>
      </c>
      <c r="Z52" s="11">
        <f t="shared" si="24"/>
        <v>0</v>
      </c>
      <c r="AA52" s="11">
        <f t="shared" si="24"/>
        <v>0</v>
      </c>
      <c r="AB52" s="11">
        <f t="shared" si="24"/>
        <v>0</v>
      </c>
      <c r="AC52" s="11">
        <f t="shared" si="24"/>
        <v>0</v>
      </c>
      <c r="AD52" s="11">
        <f t="shared" si="24"/>
        <v>0</v>
      </c>
      <c r="AE52" s="11">
        <f t="shared" si="24"/>
        <v>0</v>
      </c>
      <c r="AF52" s="11">
        <f t="shared" si="24"/>
        <v>0</v>
      </c>
      <c r="AG52" s="11">
        <f t="shared" si="24"/>
        <v>0</v>
      </c>
      <c r="AH52" s="11">
        <f t="shared" si="24"/>
        <v>0</v>
      </c>
      <c r="AI52" s="11">
        <f t="shared" si="24"/>
        <v>0</v>
      </c>
      <c r="AJ52" s="11">
        <f t="shared" si="24"/>
        <v>0</v>
      </c>
      <c r="AK52" s="11">
        <f t="shared" si="24"/>
        <v>0</v>
      </c>
      <c r="AL52" s="11">
        <f t="shared" si="24"/>
        <v>0</v>
      </c>
    </row>
    <row r="53" spans="1:38" x14ac:dyDescent="0.2">
      <c r="A53" t="s">
        <v>78</v>
      </c>
      <c r="B53" t="s">
        <v>50</v>
      </c>
      <c r="C53" t="b">
        <v>0</v>
      </c>
      <c r="D53" s="10">
        <f>E53+NPV($K$5,F53:AK53)</f>
        <v>0</v>
      </c>
      <c r="E53" s="24">
        <f t="shared" ref="E53:AL53" si="25">IF(E19=ROUNDUP($B$14,0),-MIN(0,E52+E44),0)</f>
        <v>0</v>
      </c>
      <c r="F53" s="24">
        <f t="shared" si="25"/>
        <v>0</v>
      </c>
      <c r="G53" s="24">
        <f t="shared" si="25"/>
        <v>0</v>
      </c>
      <c r="H53" s="24">
        <f t="shared" si="25"/>
        <v>0</v>
      </c>
      <c r="I53" s="24">
        <f t="shared" si="25"/>
        <v>0</v>
      </c>
      <c r="J53" s="24">
        <f t="shared" si="25"/>
        <v>0</v>
      </c>
      <c r="K53" s="24">
        <f t="shared" si="25"/>
        <v>0</v>
      </c>
      <c r="L53" s="24">
        <f t="shared" si="25"/>
        <v>0</v>
      </c>
      <c r="M53" s="24">
        <f t="shared" si="25"/>
        <v>0</v>
      </c>
      <c r="N53" s="24">
        <f t="shared" si="25"/>
        <v>0</v>
      </c>
      <c r="O53" s="24">
        <f t="shared" si="25"/>
        <v>0</v>
      </c>
      <c r="P53" s="24">
        <f t="shared" si="25"/>
        <v>0</v>
      </c>
      <c r="Q53" s="24">
        <f t="shared" si="25"/>
        <v>0</v>
      </c>
      <c r="R53" s="24">
        <f t="shared" si="25"/>
        <v>0</v>
      </c>
      <c r="S53" s="24">
        <f t="shared" si="25"/>
        <v>0</v>
      </c>
      <c r="T53" s="24">
        <f t="shared" si="25"/>
        <v>0</v>
      </c>
      <c r="U53" s="24">
        <f t="shared" si="25"/>
        <v>0</v>
      </c>
      <c r="V53" s="24">
        <f t="shared" si="25"/>
        <v>0</v>
      </c>
      <c r="W53" s="24">
        <f t="shared" si="25"/>
        <v>0</v>
      </c>
      <c r="X53" s="24">
        <f t="shared" si="25"/>
        <v>0</v>
      </c>
      <c r="Y53" s="24">
        <f t="shared" si="25"/>
        <v>0</v>
      </c>
      <c r="Z53" s="24">
        <f t="shared" si="25"/>
        <v>0</v>
      </c>
      <c r="AA53" s="24">
        <f t="shared" si="25"/>
        <v>0</v>
      </c>
      <c r="AB53" s="24">
        <f t="shared" si="25"/>
        <v>0</v>
      </c>
      <c r="AC53" s="24">
        <f t="shared" si="25"/>
        <v>0</v>
      </c>
      <c r="AD53" s="24">
        <f t="shared" si="25"/>
        <v>0</v>
      </c>
      <c r="AE53" s="24">
        <f t="shared" si="25"/>
        <v>0</v>
      </c>
      <c r="AF53" s="24">
        <f t="shared" si="25"/>
        <v>0</v>
      </c>
      <c r="AG53" s="24">
        <f t="shared" si="25"/>
        <v>0</v>
      </c>
      <c r="AH53" s="24">
        <f t="shared" si="25"/>
        <v>0</v>
      </c>
      <c r="AI53" s="24">
        <f t="shared" si="25"/>
        <v>0</v>
      </c>
      <c r="AJ53" s="24">
        <f t="shared" si="25"/>
        <v>0</v>
      </c>
      <c r="AK53" s="24">
        <f t="shared" si="25"/>
        <v>0</v>
      </c>
      <c r="AL53" s="24">
        <f t="shared" si="25"/>
        <v>0</v>
      </c>
    </row>
    <row r="54" spans="1:38" x14ac:dyDescent="0.2">
      <c r="A54" t="s">
        <v>79</v>
      </c>
      <c r="B54" t="s">
        <v>50</v>
      </c>
      <c r="C54" t="b">
        <v>0</v>
      </c>
      <c r="D54" s="10">
        <f>E54+NPV($K$5,F54:AK54)</f>
        <v>1.8907823218080159E-2</v>
      </c>
      <c r="E54" s="9">
        <f t="shared" ref="E54:AL54" si="26">IF(E$19&gt;ROUNDUP($B$14,0),IF(E55&lt;&gt;-0.01,PPMT($K$7,E$19-ROUNDUP($B$14,0),$K$8,SUM($E$53:$AL$53)),0.01),0)</f>
        <v>0</v>
      </c>
      <c r="F54" s="9">
        <f t="shared" si="26"/>
        <v>0</v>
      </c>
      <c r="G54" s="9">
        <f t="shared" si="26"/>
        <v>0</v>
      </c>
      <c r="H54" s="9">
        <f t="shared" si="26"/>
        <v>0</v>
      </c>
      <c r="I54" s="9">
        <f t="shared" si="26"/>
        <v>0</v>
      </c>
      <c r="J54" s="9">
        <f t="shared" si="26"/>
        <v>0</v>
      </c>
      <c r="K54" s="9">
        <f t="shared" si="26"/>
        <v>0</v>
      </c>
      <c r="L54" s="9">
        <f t="shared" si="26"/>
        <v>0</v>
      </c>
      <c r="M54" s="9">
        <f t="shared" si="26"/>
        <v>0</v>
      </c>
      <c r="N54" s="9">
        <f t="shared" si="26"/>
        <v>0</v>
      </c>
      <c r="O54" s="9">
        <f t="shared" si="26"/>
        <v>0</v>
      </c>
      <c r="P54" s="9">
        <f t="shared" si="26"/>
        <v>0</v>
      </c>
      <c r="Q54" s="9">
        <f t="shared" si="26"/>
        <v>0</v>
      </c>
      <c r="R54" s="9">
        <f t="shared" si="26"/>
        <v>0</v>
      </c>
      <c r="S54" s="9">
        <f t="shared" si="26"/>
        <v>0</v>
      </c>
      <c r="T54" s="9">
        <f t="shared" si="26"/>
        <v>0</v>
      </c>
      <c r="U54" s="9">
        <f t="shared" si="26"/>
        <v>0</v>
      </c>
      <c r="V54" s="9">
        <f t="shared" si="26"/>
        <v>0</v>
      </c>
      <c r="W54" s="9">
        <f t="shared" si="26"/>
        <v>0</v>
      </c>
      <c r="X54" s="9">
        <f t="shared" si="26"/>
        <v>0</v>
      </c>
      <c r="Y54" s="9">
        <f t="shared" si="26"/>
        <v>0</v>
      </c>
      <c r="Z54" s="9">
        <f t="shared" si="26"/>
        <v>0</v>
      </c>
      <c r="AA54" s="9">
        <f t="shared" si="26"/>
        <v>0</v>
      </c>
      <c r="AB54" s="9">
        <f t="shared" si="26"/>
        <v>0</v>
      </c>
      <c r="AC54" s="9">
        <f t="shared" si="26"/>
        <v>0</v>
      </c>
      <c r="AD54" s="9">
        <f t="shared" si="26"/>
        <v>0</v>
      </c>
      <c r="AE54" s="9">
        <f t="shared" si="26"/>
        <v>0</v>
      </c>
      <c r="AF54" s="9">
        <f t="shared" si="26"/>
        <v>0.01</v>
      </c>
      <c r="AG54" s="9">
        <f t="shared" si="26"/>
        <v>0.01</v>
      </c>
      <c r="AH54" s="9">
        <f t="shared" si="26"/>
        <v>0.01</v>
      </c>
      <c r="AI54" s="9">
        <f t="shared" si="26"/>
        <v>0.01</v>
      </c>
      <c r="AJ54" s="9">
        <f t="shared" si="26"/>
        <v>0.01</v>
      </c>
      <c r="AK54" s="9">
        <f t="shared" si="26"/>
        <v>0.01</v>
      </c>
      <c r="AL54" s="9">
        <f t="shared" si="26"/>
        <v>0.01</v>
      </c>
    </row>
    <row r="55" spans="1:38" x14ac:dyDescent="0.2">
      <c r="A55" t="s">
        <v>80</v>
      </c>
      <c r="B55" t="s">
        <v>50</v>
      </c>
      <c r="C55" t="b">
        <v>0</v>
      </c>
      <c r="D55" s="10">
        <f>E55+NPV($K$5,F55:AK55)</f>
        <v>-1.8907823218080159E-2</v>
      </c>
      <c r="E55" s="9">
        <f t="shared" ref="E55:AL55" si="27">IF(E$19&gt;ROUNDUP($B$14,0),IFERROR(IPMT($K$7,E$19-ROUNDUP($B$14,0),$K$8,SUM($E$53:$AL$53)),-0.01),0)</f>
        <v>0</v>
      </c>
      <c r="F55" s="9">
        <f t="shared" si="27"/>
        <v>0</v>
      </c>
      <c r="G55" s="9">
        <f t="shared" si="27"/>
        <v>0</v>
      </c>
      <c r="H55" s="9">
        <f t="shared" si="27"/>
        <v>0</v>
      </c>
      <c r="I55" s="9">
        <f t="shared" si="27"/>
        <v>0</v>
      </c>
      <c r="J55" s="9">
        <f t="shared" si="27"/>
        <v>0</v>
      </c>
      <c r="K55" s="9">
        <f t="shared" si="27"/>
        <v>0</v>
      </c>
      <c r="L55" s="9">
        <f t="shared" si="27"/>
        <v>0</v>
      </c>
      <c r="M55" s="9">
        <f t="shared" si="27"/>
        <v>0</v>
      </c>
      <c r="N55" s="9">
        <f t="shared" si="27"/>
        <v>0</v>
      </c>
      <c r="O55" s="9">
        <f t="shared" si="27"/>
        <v>0</v>
      </c>
      <c r="P55" s="9">
        <f t="shared" si="27"/>
        <v>0</v>
      </c>
      <c r="Q55" s="9">
        <f t="shared" si="27"/>
        <v>0</v>
      </c>
      <c r="R55" s="9">
        <f t="shared" si="27"/>
        <v>0</v>
      </c>
      <c r="S55" s="9">
        <f t="shared" si="27"/>
        <v>0</v>
      </c>
      <c r="T55" s="9">
        <f t="shared" si="27"/>
        <v>0</v>
      </c>
      <c r="U55" s="9">
        <f t="shared" si="27"/>
        <v>0</v>
      </c>
      <c r="V55" s="9">
        <f t="shared" si="27"/>
        <v>0</v>
      </c>
      <c r="W55" s="9">
        <f t="shared" si="27"/>
        <v>0</v>
      </c>
      <c r="X55" s="9">
        <f t="shared" si="27"/>
        <v>0</v>
      </c>
      <c r="Y55" s="9">
        <f t="shared" si="27"/>
        <v>0</v>
      </c>
      <c r="Z55" s="9">
        <f t="shared" si="27"/>
        <v>0</v>
      </c>
      <c r="AA55" s="9">
        <f t="shared" si="27"/>
        <v>0</v>
      </c>
      <c r="AB55" s="9">
        <f t="shared" si="27"/>
        <v>0</v>
      </c>
      <c r="AC55" s="9">
        <f t="shared" si="27"/>
        <v>0</v>
      </c>
      <c r="AD55" s="9">
        <f t="shared" si="27"/>
        <v>0</v>
      </c>
      <c r="AE55" s="9">
        <f t="shared" si="27"/>
        <v>0</v>
      </c>
      <c r="AF55" s="9">
        <f t="shared" si="27"/>
        <v>-0.01</v>
      </c>
      <c r="AG55" s="9">
        <f t="shared" si="27"/>
        <v>-0.01</v>
      </c>
      <c r="AH55" s="9">
        <f t="shared" si="27"/>
        <v>-0.01</v>
      </c>
      <c r="AI55" s="9">
        <f t="shared" si="27"/>
        <v>-0.01</v>
      </c>
      <c r="AJ55" s="9">
        <f t="shared" si="27"/>
        <v>-0.01</v>
      </c>
      <c r="AK55" s="9">
        <f t="shared" si="27"/>
        <v>-0.01</v>
      </c>
      <c r="AL55" s="9">
        <f t="shared" si="27"/>
        <v>-0.01</v>
      </c>
    </row>
    <row r="57" spans="1:38" x14ac:dyDescent="0.2">
      <c r="A57" s="8" t="s">
        <v>81</v>
      </c>
    </row>
    <row r="58" spans="1:38" s="25" customFormat="1" x14ac:dyDescent="0.2">
      <c r="A58" s="25" t="s">
        <v>82</v>
      </c>
      <c r="B58" s="25" t="s">
        <v>50</v>
      </c>
      <c r="C58" s="25" t="b">
        <v>0</v>
      </c>
      <c r="D58" s="12">
        <f t="shared" ref="D58:D68" si="28">E58+NPV($K$5,F58:AK58)</f>
        <v>221866.52089246473</v>
      </c>
      <c r="E58" s="11">
        <f t="shared" ref="E58:AL58" si="29">SUMIFS(E$52:E$55,$B$52:$B$55,$B$58)+SUMIFS(E$44:E$48,$B$44:$B$48,$B$58)</f>
        <v>0</v>
      </c>
      <c r="F58" s="11">
        <f t="shared" si="29"/>
        <v>149341.86314363126</v>
      </c>
      <c r="G58" s="11">
        <f t="shared" si="29"/>
        <v>84655.29132791335</v>
      </c>
      <c r="H58" s="11">
        <f t="shared" si="29"/>
        <v>0</v>
      </c>
      <c r="I58" s="11">
        <f t="shared" si="29"/>
        <v>0</v>
      </c>
      <c r="J58" s="11">
        <f t="shared" si="29"/>
        <v>0</v>
      </c>
      <c r="K58" s="11">
        <f t="shared" si="29"/>
        <v>0</v>
      </c>
      <c r="L58" s="11">
        <f t="shared" si="29"/>
        <v>0</v>
      </c>
      <c r="M58" s="11">
        <f t="shared" si="29"/>
        <v>0</v>
      </c>
      <c r="N58" s="11">
        <f t="shared" si="29"/>
        <v>0</v>
      </c>
      <c r="O58" s="11">
        <f t="shared" si="29"/>
        <v>0</v>
      </c>
      <c r="P58" s="11">
        <f t="shared" si="29"/>
        <v>0</v>
      </c>
      <c r="Q58" s="11">
        <f t="shared" si="29"/>
        <v>0</v>
      </c>
      <c r="R58" s="11">
        <f t="shared" si="29"/>
        <v>0</v>
      </c>
      <c r="S58" s="11">
        <f t="shared" si="29"/>
        <v>0</v>
      </c>
      <c r="T58" s="11">
        <f t="shared" si="29"/>
        <v>0</v>
      </c>
      <c r="U58" s="11">
        <f t="shared" si="29"/>
        <v>0</v>
      </c>
      <c r="V58" s="11">
        <f t="shared" si="29"/>
        <v>0</v>
      </c>
      <c r="W58" s="11">
        <f t="shared" si="29"/>
        <v>0</v>
      </c>
      <c r="X58" s="11">
        <f t="shared" si="29"/>
        <v>0</v>
      </c>
      <c r="Y58" s="11">
        <f t="shared" si="29"/>
        <v>0</v>
      </c>
      <c r="Z58" s="11">
        <f t="shared" si="29"/>
        <v>0</v>
      </c>
      <c r="AA58" s="11">
        <f t="shared" si="29"/>
        <v>0</v>
      </c>
      <c r="AB58" s="11">
        <f t="shared" si="29"/>
        <v>0</v>
      </c>
      <c r="AC58" s="11">
        <f t="shared" si="29"/>
        <v>0</v>
      </c>
      <c r="AD58" s="11">
        <f t="shared" si="29"/>
        <v>0</v>
      </c>
      <c r="AE58" s="11">
        <f t="shared" si="29"/>
        <v>0</v>
      </c>
      <c r="AF58" s="11">
        <f t="shared" si="29"/>
        <v>0</v>
      </c>
      <c r="AG58" s="11">
        <f t="shared" si="29"/>
        <v>0</v>
      </c>
      <c r="AH58" s="11">
        <f t="shared" si="29"/>
        <v>0</v>
      </c>
      <c r="AI58" s="11">
        <f t="shared" si="29"/>
        <v>0</v>
      </c>
      <c r="AJ58" s="11">
        <f t="shared" si="29"/>
        <v>0</v>
      </c>
      <c r="AK58" s="11">
        <f t="shared" si="29"/>
        <v>0</v>
      </c>
      <c r="AL58" s="11">
        <f t="shared" si="29"/>
        <v>0</v>
      </c>
    </row>
    <row r="59" spans="1:38" s="25" customFormat="1" x14ac:dyDescent="0.2">
      <c r="A59" s="25" t="s">
        <v>82</v>
      </c>
      <c r="B59" s="25" t="s">
        <v>52</v>
      </c>
      <c r="C59" s="25" t="b">
        <v>0</v>
      </c>
      <c r="D59" s="12">
        <f t="shared" si="28"/>
        <v>2011879.8120208001</v>
      </c>
      <c r="E59" s="11">
        <f t="shared" ref="E59:AL59" si="30">SUMIFS(E$21:E$48,$B$21:$B$48,$B$59)</f>
        <v>0</v>
      </c>
      <c r="F59" s="11">
        <f>SUMIFS(F$21:F$48,$B$21:$B$48,$B$59)</f>
        <v>108514.1308102319</v>
      </c>
      <c r="G59" s="11">
        <f t="shared" si="30"/>
        <v>60894.886174056403</v>
      </c>
      <c r="H59" s="11">
        <f t="shared" si="30"/>
        <v>65322.262711113792</v>
      </c>
      <c r="I59" s="11">
        <f t="shared" si="30"/>
        <v>69838.186778912379</v>
      </c>
      <c r="J59" s="11">
        <f t="shared" si="30"/>
        <v>74444.429328066937</v>
      </c>
      <c r="K59" s="11">
        <f t="shared" si="30"/>
        <v>79142.796728204557</v>
      </c>
      <c r="L59" s="11">
        <f t="shared" si="30"/>
        <v>83935.131476345094</v>
      </c>
      <c r="M59" s="11">
        <f t="shared" si="30"/>
        <v>88823.312919448232</v>
      </c>
      <c r="N59" s="11">
        <f t="shared" si="30"/>
        <v>93809.257991413499</v>
      </c>
      <c r="O59" s="11">
        <f t="shared" si="30"/>
        <v>98894.921964818102</v>
      </c>
      <c r="P59" s="11">
        <f t="shared" si="30"/>
        <v>-160917.7007823092</v>
      </c>
      <c r="Q59" s="11">
        <f t="shared" si="30"/>
        <v>109373.42401562096</v>
      </c>
      <c r="R59" s="11">
        <f t="shared" si="30"/>
        <v>114770.37130950959</v>
      </c>
      <c r="S59" s="11">
        <f t="shared" si="30"/>
        <v>120275.25754927617</v>
      </c>
      <c r="T59" s="11">
        <f t="shared" si="30"/>
        <v>125890.24151383797</v>
      </c>
      <c r="U59" s="11">
        <f t="shared" si="30"/>
        <v>131617.52515769107</v>
      </c>
      <c r="V59" s="11">
        <f t="shared" si="30"/>
        <v>137459.35447442127</v>
      </c>
      <c r="W59" s="11">
        <f t="shared" si="30"/>
        <v>143418.02037748595</v>
      </c>
      <c r="X59" s="11">
        <f t="shared" si="30"/>
        <v>149495.85959861201</v>
      </c>
      <c r="Y59" s="11">
        <f t="shared" si="30"/>
        <v>155695.25560416057</v>
      </c>
      <c r="Z59" s="11">
        <f t="shared" si="30"/>
        <v>-102981.36047017996</v>
      </c>
      <c r="AA59" s="11">
        <f t="shared" si="30"/>
        <v>168468.49113399285</v>
      </c>
      <c r="AB59" s="11">
        <f t="shared" si="30"/>
        <v>175047.339770249</v>
      </c>
      <c r="AC59" s="11">
        <f t="shared" si="30"/>
        <v>181757.76537923032</v>
      </c>
      <c r="AD59" s="11">
        <f t="shared" si="30"/>
        <v>188602.39950039116</v>
      </c>
      <c r="AE59" s="11">
        <f t="shared" si="30"/>
        <v>195583.92630397537</v>
      </c>
      <c r="AF59" s="11">
        <f t="shared" si="30"/>
        <v>295339.1798278403</v>
      </c>
      <c r="AG59" s="11">
        <f t="shared" si="30"/>
        <v>302602.76031428925</v>
      </c>
      <c r="AH59" s="11">
        <f t="shared" si="30"/>
        <v>310011.61241046718</v>
      </c>
      <c r="AI59" s="11">
        <f t="shared" si="30"/>
        <v>317568.64154856862</v>
      </c>
      <c r="AJ59" s="11">
        <f t="shared" si="30"/>
        <v>60276.811269432132</v>
      </c>
      <c r="AK59" s="11">
        <f t="shared" si="30"/>
        <v>333139.14438471297</v>
      </c>
      <c r="AL59" s="11">
        <f t="shared" si="30"/>
        <v>341158.7241622993</v>
      </c>
    </row>
    <row r="60" spans="1:38" x14ac:dyDescent="0.2">
      <c r="A60" t="s">
        <v>83</v>
      </c>
      <c r="B60" t="s">
        <v>52</v>
      </c>
      <c r="C60" t="b">
        <v>0</v>
      </c>
      <c r="D60" s="10">
        <f t="shared" si="28"/>
        <v>-1471892.4245205552</v>
      </c>
      <c r="E60" s="9">
        <f>IF(E$18=0,E58,IF(F$18=0,(F58/(1+$B$13))*(ROUNDUP($B$14,0)-$B$14),0))*(1+$K$14)</f>
        <v>0</v>
      </c>
      <c r="F60" s="9">
        <f>(F62+F63)*(1+$K$14)</f>
        <v>-32479.103658536587</v>
      </c>
      <c r="G60" s="9">
        <f t="shared" ref="G60:AL60" si="31">(G62+G63)*(1+$K$14)</f>
        <v>-66257.371463414631</v>
      </c>
      <c r="H60" s="9">
        <f t="shared" si="31"/>
        <v>-67582.518892682929</v>
      </c>
      <c r="I60" s="9">
        <f t="shared" si="31"/>
        <v>-68934.169270536586</v>
      </c>
      <c r="J60" s="9">
        <f t="shared" si="31"/>
        <v>-70312.85265594731</v>
      </c>
      <c r="K60" s="9">
        <f t="shared" si="31"/>
        <v>-71719.109709066281</v>
      </c>
      <c r="L60" s="9">
        <f t="shared" si="31"/>
        <v>-73153.491903247603</v>
      </c>
      <c r="M60" s="9">
        <f t="shared" si="31"/>
        <v>-74616.561741312529</v>
      </c>
      <c r="N60" s="9">
        <f t="shared" si="31"/>
        <v>-76108.892976138784</v>
      </c>
      <c r="O60" s="9">
        <f t="shared" si="31"/>
        <v>-77631.07083566158</v>
      </c>
      <c r="P60" s="9">
        <f t="shared" si="31"/>
        <v>-79183.692252374807</v>
      </c>
      <c r="Q60" s="9">
        <f t="shared" si="31"/>
        <v>-80767.366097422273</v>
      </c>
      <c r="R60" s="9">
        <f t="shared" si="31"/>
        <v>-82382.713419370746</v>
      </c>
      <c r="S60" s="9">
        <f t="shared" si="31"/>
        <v>-84030.367687758146</v>
      </c>
      <c r="T60" s="9">
        <f t="shared" si="31"/>
        <v>-85710.975041513317</v>
      </c>
      <c r="U60" s="9">
        <f t="shared" si="31"/>
        <v>-87425.194542343554</v>
      </c>
      <c r="V60" s="9">
        <f t="shared" si="31"/>
        <v>-89173.698433190453</v>
      </c>
      <c r="W60" s="9">
        <f t="shared" si="31"/>
        <v>-90957.172401854274</v>
      </c>
      <c r="X60" s="9">
        <f t="shared" si="31"/>
        <v>-92776.31584989134</v>
      </c>
      <c r="Y60" s="9">
        <f t="shared" si="31"/>
        <v>-94631.842166889168</v>
      </c>
      <c r="Z60" s="9">
        <f t="shared" si="31"/>
        <v>-96524.479010226962</v>
      </c>
      <c r="AA60" s="9">
        <f t="shared" si="31"/>
        <v>-98454.968590431512</v>
      </c>
      <c r="AB60" s="9">
        <f t="shared" si="31"/>
        <v>-100424.06796224012</v>
      </c>
      <c r="AC60" s="9">
        <f t="shared" si="31"/>
        <v>-102432.5493214849</v>
      </c>
      <c r="AD60" s="9">
        <f t="shared" si="31"/>
        <v>-104481.20030791461</v>
      </c>
      <c r="AE60" s="9">
        <f t="shared" si="31"/>
        <v>-106570.8243140729</v>
      </c>
      <c r="AF60" s="9">
        <f t="shared" si="31"/>
        <v>-108702.2408003544</v>
      </c>
      <c r="AG60" s="9">
        <f t="shared" si="31"/>
        <v>-110876.28561636145</v>
      </c>
      <c r="AH60" s="9">
        <f t="shared" si="31"/>
        <v>-113093.81132868871</v>
      </c>
      <c r="AI60" s="9">
        <f t="shared" si="31"/>
        <v>-115355.68755526246</v>
      </c>
      <c r="AJ60" s="9">
        <f t="shared" si="31"/>
        <v>-117662.80130636772</v>
      </c>
      <c r="AK60" s="9">
        <f t="shared" si="31"/>
        <v>-120016.05733249505</v>
      </c>
      <c r="AL60" s="9">
        <f t="shared" si="31"/>
        <v>-122416.37847914497</v>
      </c>
    </row>
    <row r="61" spans="1:38" x14ac:dyDescent="0.2">
      <c r="A61" t="s">
        <v>84</v>
      </c>
      <c r="B61" t="s">
        <v>50</v>
      </c>
      <c r="C61" t="b">
        <v>1</v>
      </c>
      <c r="D61" s="10">
        <f t="shared" si="28"/>
        <v>1401802.3090671953</v>
      </c>
      <c r="E61" s="9">
        <f>-E60/(1+$B$11)</f>
        <v>0</v>
      </c>
      <c r="F61" s="9">
        <f t="shared" ref="F61:AL61" si="32">-F60/(1+$B$11)</f>
        <v>30932.479674796748</v>
      </c>
      <c r="G61" s="9">
        <f>-G60/(1+$B$11)</f>
        <v>63102.258536585359</v>
      </c>
      <c r="H61" s="9">
        <f t="shared" si="32"/>
        <v>64364.303707317071</v>
      </c>
      <c r="I61" s="9">
        <f t="shared" si="32"/>
        <v>65651.589781463408</v>
      </c>
      <c r="J61" s="9">
        <f t="shared" si="32"/>
        <v>66964.621577092679</v>
      </c>
      <c r="K61" s="9">
        <f t="shared" si="32"/>
        <v>68303.914008634543</v>
      </c>
      <c r="L61" s="9">
        <f t="shared" si="32"/>
        <v>69669.992288807232</v>
      </c>
      <c r="M61" s="9">
        <f t="shared" si="32"/>
        <v>71063.392134583351</v>
      </c>
      <c r="N61" s="9">
        <f t="shared" si="32"/>
        <v>72484.659977275034</v>
      </c>
      <c r="O61" s="9">
        <f t="shared" si="32"/>
        <v>73934.353176820543</v>
      </c>
      <c r="P61" s="9">
        <f t="shared" si="32"/>
        <v>75413.040240356961</v>
      </c>
      <c r="Q61" s="9">
        <f t="shared" si="32"/>
        <v>76921.301045164073</v>
      </c>
      <c r="R61" s="9">
        <f t="shared" si="32"/>
        <v>78459.727066067368</v>
      </c>
      <c r="S61" s="9">
        <f t="shared" si="32"/>
        <v>80028.921607388707</v>
      </c>
      <c r="T61" s="9">
        <f t="shared" si="32"/>
        <v>81629.500039536491</v>
      </c>
      <c r="U61" s="9">
        <f t="shared" si="32"/>
        <v>83262.090040327195</v>
      </c>
      <c r="V61" s="9">
        <f t="shared" si="32"/>
        <v>84927.331841133768</v>
      </c>
      <c r="W61" s="9">
        <f t="shared" si="32"/>
        <v>86625.878477956445</v>
      </c>
      <c r="X61" s="9">
        <f t="shared" si="32"/>
        <v>88358.396047515562</v>
      </c>
      <c r="Y61" s="9">
        <f t="shared" si="32"/>
        <v>90125.563968465867</v>
      </c>
      <c r="Z61" s="9">
        <f t="shared" si="32"/>
        <v>91928.075247835193</v>
      </c>
      <c r="AA61" s="9">
        <f t="shared" si="32"/>
        <v>93766.636752791906</v>
      </c>
      <c r="AB61" s="9">
        <f t="shared" si="32"/>
        <v>95641.969487847731</v>
      </c>
      <c r="AC61" s="9">
        <f t="shared" si="32"/>
        <v>97554.808877604664</v>
      </c>
      <c r="AD61" s="9">
        <f t="shared" si="32"/>
        <v>99505.905055156763</v>
      </c>
      <c r="AE61" s="9">
        <f t="shared" si="32"/>
        <v>101496.02315625991</v>
      </c>
      <c r="AF61" s="9">
        <f t="shared" si="32"/>
        <v>103525.94361938513</v>
      </c>
      <c r="AG61" s="9">
        <f t="shared" si="32"/>
        <v>105596.46249177281</v>
      </c>
      <c r="AH61" s="9">
        <f t="shared" si="32"/>
        <v>107708.39174160828</v>
      </c>
      <c r="AI61" s="9">
        <f t="shared" si="32"/>
        <v>109862.55957644043</v>
      </c>
      <c r="AJ61" s="9">
        <f t="shared" si="32"/>
        <v>112059.81076796925</v>
      </c>
      <c r="AK61" s="9">
        <f t="shared" si="32"/>
        <v>114301.00698332861</v>
      </c>
      <c r="AL61" s="9">
        <f t="shared" si="32"/>
        <v>116587.0271229952</v>
      </c>
    </row>
    <row r="62" spans="1:38" x14ac:dyDescent="0.2">
      <c r="A62" t="s">
        <v>85</v>
      </c>
      <c r="B62" t="s">
        <v>50</v>
      </c>
      <c r="C62" t="b">
        <v>1</v>
      </c>
      <c r="D62" s="10">
        <f t="shared" si="28"/>
        <v>-554353.17291161499</v>
      </c>
      <c r="E62" s="9">
        <f>IF(E19&gt;$B$14,$E$14*$B$9*POWER(1+$B$13,E$19-ROUNDUP($B$14,0)),0)*IF(E$18=0,1,ROUNDUP($B$14,0)-$B$14)*IF($C62,1/(1+$B$7),1)</f>
        <v>0</v>
      </c>
      <c r="F62" s="9">
        <f>IF(F19&gt;$B$14,$E$14*$B$9*POWER(1+$B$13,F$19-ROUNDUP($B$14,0)),0)*IF(F$18=0,1,ROUNDUP($B$14,0)-$B$14)*IF($C62,1/(1+$B$7),1)</f>
        <v>-12232.479674796748</v>
      </c>
      <c r="G62" s="9">
        <f t="shared" ref="G62:AL62" si="33">IF(G19&gt;$B$14,$E$14*$B$9*POWER(1+$B$13,G$19-ROUNDUP($B$14,0)),0)*IF(G$18=0,1,ROUNDUP($B$14,0)-$B$14)*IF($C62,1/(1+$B$7),1)</f>
        <v>-24954.258536585367</v>
      </c>
      <c r="H62" s="9">
        <f t="shared" si="33"/>
        <v>-25453.343707317072</v>
      </c>
      <c r="I62" s="9">
        <f t="shared" si="33"/>
        <v>-25962.410581463413</v>
      </c>
      <c r="J62" s="9">
        <f t="shared" si="33"/>
        <v>-26481.658793092683</v>
      </c>
      <c r="K62" s="9">
        <f t="shared" si="33"/>
        <v>-27011.291968954542</v>
      </c>
      <c r="L62" s="9">
        <f t="shared" si="33"/>
        <v>-27551.517808333632</v>
      </c>
      <c r="M62" s="9">
        <f t="shared" si="33"/>
        <v>-28102.548164500295</v>
      </c>
      <c r="N62" s="9">
        <f t="shared" si="33"/>
        <v>-28664.599127790301</v>
      </c>
      <c r="O62" s="9">
        <f t="shared" si="33"/>
        <v>-29237.891110346111</v>
      </c>
      <c r="P62" s="9">
        <f t="shared" si="33"/>
        <v>-29822.648932553035</v>
      </c>
      <c r="Q62" s="9">
        <f t="shared" si="33"/>
        <v>-30419.101911204089</v>
      </c>
      <c r="R62" s="9">
        <f t="shared" si="33"/>
        <v>-31027.483949428177</v>
      </c>
      <c r="S62" s="9">
        <f t="shared" si="33"/>
        <v>-31648.033628416739</v>
      </c>
      <c r="T62" s="9">
        <f t="shared" si="33"/>
        <v>-32280.994300985079</v>
      </c>
      <c r="U62" s="9">
        <f t="shared" si="33"/>
        <v>-32926.614187004772</v>
      </c>
      <c r="V62" s="9">
        <f t="shared" si="33"/>
        <v>-33585.146470744869</v>
      </c>
      <c r="W62" s="9">
        <f t="shared" si="33"/>
        <v>-34256.849400159772</v>
      </c>
      <c r="X62" s="9">
        <f t="shared" si="33"/>
        <v>-34941.986388162964</v>
      </c>
      <c r="Y62" s="9">
        <f t="shared" si="33"/>
        <v>-35640.826115926218</v>
      </c>
      <c r="Z62" s="9">
        <f t="shared" si="33"/>
        <v>-36353.642638244746</v>
      </c>
      <c r="AA62" s="9">
        <f t="shared" si="33"/>
        <v>-37080.715491009643</v>
      </c>
      <c r="AB62" s="9">
        <f t="shared" si="33"/>
        <v>-37822.329800829837</v>
      </c>
      <c r="AC62" s="9">
        <f t="shared" si="33"/>
        <v>-38578.776396846421</v>
      </c>
      <c r="AD62" s="9">
        <f t="shared" si="33"/>
        <v>-39350.351924783354</v>
      </c>
      <c r="AE62" s="9">
        <f t="shared" si="33"/>
        <v>-40137.358963279017</v>
      </c>
      <c r="AF62" s="9">
        <f t="shared" si="33"/>
        <v>-40940.10614254461</v>
      </c>
      <c r="AG62" s="9">
        <f t="shared" si="33"/>
        <v>-41758.90826539549</v>
      </c>
      <c r="AH62" s="9">
        <f t="shared" si="33"/>
        <v>-42594.086430703413</v>
      </c>
      <c r="AI62" s="9">
        <f t="shared" si="33"/>
        <v>-43445.968159317476</v>
      </c>
      <c r="AJ62" s="9">
        <f t="shared" si="33"/>
        <v>-44314.887522503821</v>
      </c>
      <c r="AK62" s="9">
        <f t="shared" si="33"/>
        <v>-45201.185272953895</v>
      </c>
      <c r="AL62" s="9">
        <f t="shared" si="33"/>
        <v>-46105.208978412978</v>
      </c>
    </row>
    <row r="63" spans="1:38" x14ac:dyDescent="0.2">
      <c r="A63" t="s">
        <v>86</v>
      </c>
      <c r="B63" t="s">
        <v>50</v>
      </c>
      <c r="C63" t="b">
        <v>0</v>
      </c>
      <c r="D63" s="10">
        <f t="shared" si="28"/>
        <v>-847449.13615558052</v>
      </c>
      <c r="E63" s="24">
        <f>IF(E19&gt;$B$14,$N$14*$E$5*POWER(1+$B$13,E$19-ROUNDUP($B$14,0)),0)*IF(E$18=0,1,ROUNDUP($B$14,0)-$B$14)</f>
        <v>0</v>
      </c>
      <c r="F63" s="24">
        <f>IF(F19&gt;$B$14,$N$14*$E$5*POWER(1+$B$13,F$19-ROUNDUP($B$14,0)),0)*IF(F$18=0,1,ROUNDUP($B$14,0)-$B$14)</f>
        <v>-18700</v>
      </c>
      <c r="G63" s="24">
        <f t="shared" ref="G63:AL63" si="34">IF(G19&gt;$B$14,$N$14*$E$5*POWER(1+$B$13,G$19-ROUNDUP($B$14,0)),0)*IF(G$18=0,1,ROUNDUP($B$14,0)-$B$14)</f>
        <v>-38148</v>
      </c>
      <c r="H63" s="24">
        <f t="shared" si="34"/>
        <v>-38910.959999999999</v>
      </c>
      <c r="I63" s="24">
        <f t="shared" si="34"/>
        <v>-39689.179199999999</v>
      </c>
      <c r="J63" s="24">
        <f t="shared" si="34"/>
        <v>-40482.962783999996</v>
      </c>
      <c r="K63" s="24">
        <f t="shared" si="34"/>
        <v>-41292.622039679998</v>
      </c>
      <c r="L63" s="24">
        <f t="shared" si="34"/>
        <v>-42118.474480473604</v>
      </c>
      <c r="M63" s="24">
        <f t="shared" si="34"/>
        <v>-42960.843970083064</v>
      </c>
      <c r="N63" s="24">
        <f t="shared" si="34"/>
        <v>-43820.060849484733</v>
      </c>
      <c r="O63" s="24">
        <f t="shared" si="34"/>
        <v>-44696.462066474429</v>
      </c>
      <c r="P63" s="24">
        <f t="shared" si="34"/>
        <v>-45590.391307803919</v>
      </c>
      <c r="Q63" s="24">
        <f t="shared" si="34"/>
        <v>-46502.199133959984</v>
      </c>
      <c r="R63" s="24">
        <f t="shared" si="34"/>
        <v>-47432.243116639191</v>
      </c>
      <c r="S63" s="24">
        <f t="shared" si="34"/>
        <v>-48380.887978971972</v>
      </c>
      <c r="T63" s="24">
        <f t="shared" si="34"/>
        <v>-49348.505738551416</v>
      </c>
      <c r="U63" s="24">
        <f t="shared" si="34"/>
        <v>-50335.47585332243</v>
      </c>
      <c r="V63" s="24">
        <f t="shared" si="34"/>
        <v>-51342.185370388892</v>
      </c>
      <c r="W63" s="24">
        <f t="shared" si="34"/>
        <v>-52369.029077796673</v>
      </c>
      <c r="X63" s="24">
        <f t="shared" si="34"/>
        <v>-53416.409659352597</v>
      </c>
      <c r="Y63" s="24">
        <f t="shared" si="34"/>
        <v>-54484.737852539649</v>
      </c>
      <c r="Z63" s="24">
        <f t="shared" si="34"/>
        <v>-55574.432609590447</v>
      </c>
      <c r="AA63" s="24">
        <f t="shared" si="34"/>
        <v>-56685.921261782256</v>
      </c>
      <c r="AB63" s="24">
        <f t="shared" si="34"/>
        <v>-57819.639687017901</v>
      </c>
      <c r="AC63" s="24">
        <f t="shared" si="34"/>
        <v>-58976.032480758251</v>
      </c>
      <c r="AD63" s="24">
        <f t="shared" si="34"/>
        <v>-60155.553130373417</v>
      </c>
      <c r="AE63" s="24">
        <f t="shared" si="34"/>
        <v>-61358.664192980883</v>
      </c>
      <c r="AF63" s="24">
        <f t="shared" si="34"/>
        <v>-62585.837476840512</v>
      </c>
      <c r="AG63" s="24">
        <f t="shared" si="34"/>
        <v>-63837.55422637731</v>
      </c>
      <c r="AH63" s="24">
        <f t="shared" si="34"/>
        <v>-65114.305310904871</v>
      </c>
      <c r="AI63" s="24">
        <f t="shared" si="34"/>
        <v>-66416.591417122952</v>
      </c>
      <c r="AJ63" s="24">
        <f t="shared" si="34"/>
        <v>-67744.923245465427</v>
      </c>
      <c r="AK63" s="24">
        <f t="shared" si="34"/>
        <v>-69099.821710374716</v>
      </c>
      <c r="AL63" s="24">
        <f t="shared" si="34"/>
        <v>-70481.818144582227</v>
      </c>
    </row>
    <row r="64" spans="1:38" s="16" customFormat="1" x14ac:dyDescent="0.2">
      <c r="A64" s="15" t="s">
        <v>67</v>
      </c>
      <c r="B64" s="15" t="s">
        <v>50</v>
      </c>
      <c r="D64" s="19">
        <f t="shared" si="28"/>
        <v>70090.115453359773</v>
      </c>
      <c r="E64" s="18">
        <f>E61*$B$11</f>
        <v>0</v>
      </c>
      <c r="F64" s="18">
        <f t="shared" ref="F64:AL65" si="35">F61*$B$11</f>
        <v>1546.6239837398375</v>
      </c>
      <c r="G64" s="18">
        <f t="shared" si="35"/>
        <v>3155.112926829268</v>
      </c>
      <c r="H64" s="18">
        <f t="shared" si="35"/>
        <v>3218.2151853658538</v>
      </c>
      <c r="I64" s="18">
        <f t="shared" si="35"/>
        <v>3282.5794890731704</v>
      </c>
      <c r="J64" s="18">
        <f t="shared" si="35"/>
        <v>3348.2310788546342</v>
      </c>
      <c r="K64" s="18">
        <f t="shared" si="35"/>
        <v>3415.1957004317273</v>
      </c>
      <c r="L64" s="18">
        <f t="shared" si="35"/>
        <v>3483.4996144403617</v>
      </c>
      <c r="M64" s="18">
        <f t="shared" si="35"/>
        <v>3553.1696067291678</v>
      </c>
      <c r="N64" s="18">
        <f t="shared" si="35"/>
        <v>3624.2329988637521</v>
      </c>
      <c r="O64" s="18">
        <f t="shared" si="35"/>
        <v>3696.7176588410275</v>
      </c>
      <c r="P64" s="18">
        <f t="shared" si="35"/>
        <v>3770.6520120178484</v>
      </c>
      <c r="Q64" s="18">
        <f t="shared" si="35"/>
        <v>3846.0650522582037</v>
      </c>
      <c r="R64" s="18">
        <f t="shared" si="35"/>
        <v>3922.9863533033686</v>
      </c>
      <c r="S64" s="18">
        <f t="shared" si="35"/>
        <v>4001.4460803694355</v>
      </c>
      <c r="T64" s="18">
        <f t="shared" si="35"/>
        <v>4081.4750019768248</v>
      </c>
      <c r="U64" s="18">
        <f t="shared" si="35"/>
        <v>4163.1045020163601</v>
      </c>
      <c r="V64" s="18">
        <f t="shared" si="35"/>
        <v>4246.3665920566882</v>
      </c>
      <c r="W64" s="18">
        <f t="shared" si="35"/>
        <v>4331.2939238978224</v>
      </c>
      <c r="X64" s="18">
        <f t="shared" si="35"/>
        <v>4417.9198023757781</v>
      </c>
      <c r="Y64" s="18">
        <f t="shared" si="35"/>
        <v>4506.2781984232934</v>
      </c>
      <c r="Z64" s="18">
        <f t="shared" si="35"/>
        <v>4596.4037623917602</v>
      </c>
      <c r="AA64" s="18">
        <f t="shared" si="35"/>
        <v>4688.3318376395955</v>
      </c>
      <c r="AB64" s="18">
        <f t="shared" si="35"/>
        <v>4782.0984743923864</v>
      </c>
      <c r="AC64" s="18">
        <f t="shared" si="35"/>
        <v>4877.7404438802332</v>
      </c>
      <c r="AD64" s="18">
        <f t="shared" si="35"/>
        <v>4975.2952527578382</v>
      </c>
      <c r="AE64" s="18">
        <f t="shared" si="35"/>
        <v>5074.8011578129954</v>
      </c>
      <c r="AF64" s="18">
        <f t="shared" si="35"/>
        <v>5176.2971809692572</v>
      </c>
      <c r="AG64" s="18">
        <f t="shared" si="35"/>
        <v>5279.8231245886409</v>
      </c>
      <c r="AH64" s="18">
        <f t="shared" si="35"/>
        <v>5385.4195870804142</v>
      </c>
      <c r="AI64" s="18">
        <f t="shared" si="35"/>
        <v>5493.1279788220218</v>
      </c>
      <c r="AJ64" s="18">
        <f t="shared" si="35"/>
        <v>5602.9905383984624</v>
      </c>
      <c r="AK64" s="18">
        <f t="shared" si="35"/>
        <v>5715.0503491664313</v>
      </c>
      <c r="AL64" s="18">
        <f t="shared" si="35"/>
        <v>5829.3513561497602</v>
      </c>
    </row>
    <row r="65" spans="1:38" s="16" customFormat="1" x14ac:dyDescent="0.2">
      <c r="A65" s="15" t="s">
        <v>53</v>
      </c>
      <c r="B65" s="15" t="s">
        <v>50</v>
      </c>
      <c r="D65" s="19">
        <f t="shared" si="28"/>
        <v>-27717.658645580752</v>
      </c>
      <c r="E65" s="18">
        <f>E62*$B$11</f>
        <v>0</v>
      </c>
      <c r="F65" s="18">
        <f t="shared" si="35"/>
        <v>-611.6239837398374</v>
      </c>
      <c r="G65" s="18">
        <f t="shared" si="35"/>
        <v>-1247.7129268292683</v>
      </c>
      <c r="H65" s="18">
        <f t="shared" si="35"/>
        <v>-1272.6671853658536</v>
      </c>
      <c r="I65" s="18">
        <f t="shared" si="35"/>
        <v>-1298.1205290731707</v>
      </c>
      <c r="J65" s="18">
        <f t="shared" si="35"/>
        <v>-1324.0829396546342</v>
      </c>
      <c r="K65" s="18">
        <f t="shared" si="35"/>
        <v>-1350.5645984477271</v>
      </c>
      <c r="L65" s="18">
        <f t="shared" si="35"/>
        <v>-1377.5758904166817</v>
      </c>
      <c r="M65" s="18">
        <f t="shared" si="35"/>
        <v>-1405.1274082250147</v>
      </c>
      <c r="N65" s="18">
        <f t="shared" si="35"/>
        <v>-1433.2299563895151</v>
      </c>
      <c r="O65" s="18">
        <f t="shared" si="35"/>
        <v>-1461.8945555173057</v>
      </c>
      <c r="P65" s="18">
        <f t="shared" si="35"/>
        <v>-1491.1324466276519</v>
      </c>
      <c r="Q65" s="18">
        <f t="shared" si="35"/>
        <v>-1520.9550955602044</v>
      </c>
      <c r="R65" s="18">
        <f t="shared" si="35"/>
        <v>-1551.3741974714089</v>
      </c>
      <c r="S65" s="18">
        <f t="shared" si="35"/>
        <v>-1582.4016814208371</v>
      </c>
      <c r="T65" s="18">
        <f t="shared" si="35"/>
        <v>-1614.049715049254</v>
      </c>
      <c r="U65" s="18">
        <f t="shared" si="35"/>
        <v>-1646.3307093502387</v>
      </c>
      <c r="V65" s="18">
        <f t="shared" si="35"/>
        <v>-1679.2573235372436</v>
      </c>
      <c r="W65" s="18">
        <f t="shared" si="35"/>
        <v>-1712.8424700079886</v>
      </c>
      <c r="X65" s="18">
        <f t="shared" si="35"/>
        <v>-1747.0993194081484</v>
      </c>
      <c r="Y65" s="18">
        <f t="shared" si="35"/>
        <v>-1782.041305796311</v>
      </c>
      <c r="Z65" s="18">
        <f t="shared" si="35"/>
        <v>-1817.6821319122373</v>
      </c>
      <c r="AA65" s="18">
        <f t="shared" si="35"/>
        <v>-1854.0357745504823</v>
      </c>
      <c r="AB65" s="18">
        <f t="shared" si="35"/>
        <v>-1891.1164900414919</v>
      </c>
      <c r="AC65" s="18">
        <f t="shared" si="35"/>
        <v>-1928.9388198423212</v>
      </c>
      <c r="AD65" s="18">
        <f t="shared" si="35"/>
        <v>-1967.5175962391677</v>
      </c>
      <c r="AE65" s="18">
        <f t="shared" si="35"/>
        <v>-2006.867948163951</v>
      </c>
      <c r="AF65" s="18">
        <f t="shared" si="35"/>
        <v>-2047.0053071272305</v>
      </c>
      <c r="AG65" s="18">
        <f t="shared" si="35"/>
        <v>-2087.9454132697747</v>
      </c>
      <c r="AH65" s="18">
        <f t="shared" si="35"/>
        <v>-2129.7043215351709</v>
      </c>
      <c r="AI65" s="18">
        <f t="shared" si="35"/>
        <v>-2172.298407965874</v>
      </c>
      <c r="AJ65" s="18">
        <f t="shared" si="35"/>
        <v>-2215.7443761251911</v>
      </c>
      <c r="AK65" s="18">
        <f t="shared" si="35"/>
        <v>-2260.0592636476949</v>
      </c>
      <c r="AL65" s="18">
        <f t="shared" si="35"/>
        <v>-2305.2604489206492</v>
      </c>
    </row>
    <row r="66" spans="1:38" x14ac:dyDescent="0.2">
      <c r="A66" s="15" t="s">
        <v>105</v>
      </c>
      <c r="B66" s="15" t="s">
        <v>50</v>
      </c>
      <c r="D66" s="19">
        <f t="shared" si="28"/>
        <v>-39795.754005770141</v>
      </c>
      <c r="E66" s="18">
        <v>0</v>
      </c>
      <c r="F66" s="18">
        <f>-E65-E64</f>
        <v>0</v>
      </c>
      <c r="G66" s="18">
        <f>-F65-F64</f>
        <v>-935.00000000000011</v>
      </c>
      <c r="H66" s="18">
        <f t="shared" ref="H66:AL66" si="36">-G65-G64</f>
        <v>-1907.3999999999996</v>
      </c>
      <c r="I66" s="18">
        <f t="shared" si="36"/>
        <v>-1945.5480000000002</v>
      </c>
      <c r="J66" s="18">
        <f t="shared" si="36"/>
        <v>-1984.4589599999997</v>
      </c>
      <c r="K66" s="18">
        <f t="shared" si="36"/>
        <v>-2024.1481392000001</v>
      </c>
      <c r="L66" s="18">
        <f t="shared" si="36"/>
        <v>-2064.6311019840005</v>
      </c>
      <c r="M66" s="18">
        <f t="shared" si="36"/>
        <v>-2105.9237240236798</v>
      </c>
      <c r="N66" s="18">
        <f t="shared" si="36"/>
        <v>-2148.042198504153</v>
      </c>
      <c r="O66" s="18">
        <f t="shared" si="36"/>
        <v>-2191.0030424742372</v>
      </c>
      <c r="P66" s="18">
        <f t="shared" si="36"/>
        <v>-2234.8231033237216</v>
      </c>
      <c r="Q66" s="18">
        <f t="shared" si="36"/>
        <v>-2279.5195653901965</v>
      </c>
      <c r="R66" s="18">
        <f t="shared" si="36"/>
        <v>-2325.1099566979992</v>
      </c>
      <c r="S66" s="18">
        <f t="shared" si="36"/>
        <v>-2371.6121558319596</v>
      </c>
      <c r="T66" s="18">
        <f t="shared" si="36"/>
        <v>-2419.0443989485984</v>
      </c>
      <c r="U66" s="18">
        <f t="shared" si="36"/>
        <v>-2467.4252869275706</v>
      </c>
      <c r="V66" s="18">
        <f t="shared" si="36"/>
        <v>-2516.7737926661212</v>
      </c>
      <c r="W66" s="18">
        <f t="shared" si="36"/>
        <v>-2567.1092685194444</v>
      </c>
      <c r="X66" s="18">
        <f t="shared" si="36"/>
        <v>-2618.4514538898338</v>
      </c>
      <c r="Y66" s="18">
        <f t="shared" si="36"/>
        <v>-2670.8204829676297</v>
      </c>
      <c r="Z66" s="18">
        <f t="shared" si="36"/>
        <v>-2724.2368926269824</v>
      </c>
      <c r="AA66" s="18">
        <f t="shared" si="36"/>
        <v>-2778.7216304795229</v>
      </c>
      <c r="AB66" s="18">
        <f t="shared" si="36"/>
        <v>-2834.296063089113</v>
      </c>
      <c r="AC66" s="18">
        <f t="shared" si="36"/>
        <v>-2890.9819843508944</v>
      </c>
      <c r="AD66" s="18">
        <f t="shared" si="36"/>
        <v>-2948.801624037912</v>
      </c>
      <c r="AE66" s="18">
        <f t="shared" si="36"/>
        <v>-3007.7776565186705</v>
      </c>
      <c r="AF66" s="18">
        <f t="shared" si="36"/>
        <v>-3067.9332096490443</v>
      </c>
      <c r="AG66" s="18">
        <f t="shared" si="36"/>
        <v>-3129.2918738420267</v>
      </c>
      <c r="AH66" s="18">
        <f t="shared" si="36"/>
        <v>-3191.8777113188662</v>
      </c>
      <c r="AI66" s="18">
        <f t="shared" si="36"/>
        <v>-3255.7152655452433</v>
      </c>
      <c r="AJ66" s="18">
        <f t="shared" si="36"/>
        <v>-3320.8295708561477</v>
      </c>
      <c r="AK66" s="18">
        <f t="shared" si="36"/>
        <v>-3387.2461622732712</v>
      </c>
      <c r="AL66" s="18">
        <f t="shared" si="36"/>
        <v>-3454.9910855187363</v>
      </c>
    </row>
    <row r="67" spans="1:38" x14ac:dyDescent="0.2">
      <c r="A67" t="s">
        <v>87</v>
      </c>
      <c r="B67" t="s">
        <v>50</v>
      </c>
      <c r="D67" s="10">
        <f t="shared" si="28"/>
        <v>224443.22369447348</v>
      </c>
      <c r="E67" s="9">
        <f>SUMIFS(E$58:E$65,$B$58:$B$65,$B67)</f>
        <v>0</v>
      </c>
      <c r="F67" s="9">
        <f>SUMIFS(F$58:F$65,$B$58:$B$65,$B67)-E65-E64</f>
        <v>150276.86314363126</v>
      </c>
      <c r="G67" s="9">
        <f t="shared" ref="G67:AL67" si="37">SUMIFS(G$58:G$65,$B$58:$B$65,$B67)-F65-F64</f>
        <v>85627.691327913359</v>
      </c>
      <c r="H67" s="9">
        <f t="shared" si="37"/>
        <v>38.148000000000593</v>
      </c>
      <c r="I67" s="9">
        <f t="shared" si="37"/>
        <v>38.910959999999704</v>
      </c>
      <c r="J67" s="9">
        <f t="shared" si="37"/>
        <v>39.689179200000581</v>
      </c>
      <c r="K67" s="9">
        <f t="shared" si="37"/>
        <v>40.482962784007668</v>
      </c>
      <c r="L67" s="9">
        <f t="shared" si="37"/>
        <v>41.292622039672096</v>
      </c>
      <c r="M67" s="9">
        <f t="shared" si="37"/>
        <v>42.118474480465466</v>
      </c>
      <c r="N67" s="9">
        <f t="shared" si="37"/>
        <v>42.96084397008417</v>
      </c>
      <c r="O67" s="9">
        <f t="shared" si="37"/>
        <v>43.820060849484435</v>
      </c>
      <c r="P67" s="9">
        <f t="shared" si="37"/>
        <v>44.696462066482127</v>
      </c>
      <c r="Q67" s="9">
        <f t="shared" si="37"/>
        <v>45.590391307802747</v>
      </c>
      <c r="R67" s="9">
        <f t="shared" si="37"/>
        <v>46.502199133960403</v>
      </c>
      <c r="S67" s="9">
        <f t="shared" si="37"/>
        <v>47.432243116631525</v>
      </c>
      <c r="T67" s="9">
        <f t="shared" si="37"/>
        <v>48.380887978964893</v>
      </c>
      <c r="U67" s="9">
        <f t="shared" si="37"/>
        <v>49.348505738542826</v>
      </c>
      <c r="V67" s="9">
        <f t="shared" si="37"/>
        <v>50.335475853330536</v>
      </c>
      <c r="W67" s="9">
        <f t="shared" si="37"/>
        <v>51.342185370389416</v>
      </c>
      <c r="X67" s="9">
        <f t="shared" si="37"/>
        <v>52.369029077795858</v>
      </c>
      <c r="Y67" s="9">
        <f t="shared" si="37"/>
        <v>53.416409659352212</v>
      </c>
      <c r="Z67" s="9">
        <f t="shared" si="37"/>
        <v>54.484737852541002</v>
      </c>
      <c r="AA67" s="9">
        <f t="shared" si="37"/>
        <v>55.574432609597352</v>
      </c>
      <c r="AB67" s="9">
        <f t="shared" si="37"/>
        <v>56.685921261773728</v>
      </c>
      <c r="AC67" s="9">
        <f t="shared" si="37"/>
        <v>57.819639687010749</v>
      </c>
      <c r="AD67" s="9">
        <f t="shared" si="37"/>
        <v>58.976032480751201</v>
      </c>
      <c r="AE67" s="9">
        <f t="shared" si="37"/>
        <v>60.155553130381122</v>
      </c>
      <c r="AF67" s="9">
        <f t="shared" si="37"/>
        <v>61.358664192989636</v>
      </c>
      <c r="AG67" s="9">
        <f t="shared" si="37"/>
        <v>62.585837476846791</v>
      </c>
      <c r="AH67" s="9">
        <f t="shared" si="37"/>
        <v>63.837554226377506</v>
      </c>
      <c r="AI67" s="9">
        <f t="shared" si="37"/>
        <v>65.114305310904456</v>
      </c>
      <c r="AJ67" s="9">
        <f t="shared" si="37"/>
        <v>66.416591417123527</v>
      </c>
      <c r="AK67" s="9">
        <f t="shared" si="37"/>
        <v>67.744923245465543</v>
      </c>
      <c r="AL67" s="9">
        <f t="shared" si="37"/>
        <v>69.099821710375181</v>
      </c>
    </row>
    <row r="68" spans="1:38" x14ac:dyDescent="0.2">
      <c r="A68" t="s">
        <v>87</v>
      </c>
      <c r="B68" t="s">
        <v>52</v>
      </c>
      <c r="D68" s="10">
        <f t="shared" si="28"/>
        <v>539987.38750024443</v>
      </c>
      <c r="E68" s="9">
        <f>SUMIFS(E$58:E$65,$B$58:$B$65,$B68)</f>
        <v>0</v>
      </c>
      <c r="F68" s="9">
        <f t="shared" ref="F68:AL68" si="38">SUMIFS(F$58:F$65,$B$58:$B$65,$B68)</f>
        <v>76035.027151695307</v>
      </c>
      <c r="G68" s="9">
        <f t="shared" si="38"/>
        <v>-5362.4852893582283</v>
      </c>
      <c r="H68" s="9">
        <f t="shared" si="38"/>
        <v>-2260.256181569137</v>
      </c>
      <c r="I68" s="9">
        <f t="shared" si="38"/>
        <v>904.01750837579311</v>
      </c>
      <c r="J68" s="9">
        <f t="shared" si="38"/>
        <v>4131.5766721196269</v>
      </c>
      <c r="K68" s="9">
        <f t="shared" si="38"/>
        <v>7423.6870191382768</v>
      </c>
      <c r="L68" s="9">
        <f t="shared" si="38"/>
        <v>10781.639573097491</v>
      </c>
      <c r="M68" s="9">
        <f t="shared" si="38"/>
        <v>14206.751178135703</v>
      </c>
      <c r="N68" s="9">
        <f t="shared" si="38"/>
        <v>17700.365015274714</v>
      </c>
      <c r="O68" s="9">
        <f t="shared" si="38"/>
        <v>21263.851129156523</v>
      </c>
      <c r="P68" s="9">
        <f t="shared" si="38"/>
        <v>-240101.39303468401</v>
      </c>
      <c r="Q68" s="9">
        <f t="shared" si="38"/>
        <v>28606.057918198683</v>
      </c>
      <c r="R68" s="9">
        <f t="shared" si="38"/>
        <v>32387.657890138842</v>
      </c>
      <c r="S68" s="9">
        <f t="shared" si="38"/>
        <v>36244.889861518022</v>
      </c>
      <c r="T68" s="9">
        <f t="shared" si="38"/>
        <v>40179.266472324656</v>
      </c>
      <c r="U68" s="9">
        <f t="shared" si="38"/>
        <v>44192.330615347513</v>
      </c>
      <c r="V68" s="9">
        <f t="shared" si="38"/>
        <v>48285.656041230817</v>
      </c>
      <c r="W68" s="9">
        <f t="shared" si="38"/>
        <v>52460.847975631681</v>
      </c>
      <c r="X68" s="9">
        <f t="shared" si="38"/>
        <v>56719.543748720665</v>
      </c>
      <c r="Y68" s="9">
        <f t="shared" si="38"/>
        <v>61063.413437271403</v>
      </c>
      <c r="Z68" s="9">
        <f t="shared" si="38"/>
        <v>-199505.83948040692</v>
      </c>
      <c r="AA68" s="9">
        <f t="shared" si="38"/>
        <v>70013.522543561339</v>
      </c>
      <c r="AB68" s="9">
        <f t="shared" si="38"/>
        <v>74623.271808008882</v>
      </c>
      <c r="AC68" s="9">
        <f t="shared" si="38"/>
        <v>79325.21605774542</v>
      </c>
      <c r="AD68" s="9">
        <f t="shared" si="38"/>
        <v>84121.199192476546</v>
      </c>
      <c r="AE68" s="9">
        <f t="shared" si="38"/>
        <v>89013.101989902469</v>
      </c>
      <c r="AF68" s="9">
        <f t="shared" si="38"/>
        <v>186636.9390274859</v>
      </c>
      <c r="AG68" s="9">
        <f t="shared" si="38"/>
        <v>191726.4746979278</v>
      </c>
      <c r="AH68" s="9">
        <f t="shared" si="38"/>
        <v>196917.80108177848</v>
      </c>
      <c r="AI68" s="9">
        <f t="shared" si="38"/>
        <v>202212.95399330615</v>
      </c>
      <c r="AJ68" s="9">
        <f t="shared" si="38"/>
        <v>-57385.990036935589</v>
      </c>
      <c r="AK68" s="9">
        <f t="shared" si="38"/>
        <v>213123.08705221792</v>
      </c>
      <c r="AL68" s="9">
        <f t="shared" si="38"/>
        <v>218742.34568315433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8C2A4-7A43-3243-B9A2-857AF7F215DA}">
  <dimension ref="A1:AL68"/>
  <sheetViews>
    <sheetView topLeftCell="A14" workbookViewId="0">
      <selection activeCell="C51" sqref="C51"/>
    </sheetView>
    <sheetView topLeftCell="D1" workbookViewId="1">
      <selection activeCell="D22" sqref="D22"/>
    </sheetView>
  </sheetViews>
  <sheetFormatPr baseColWidth="10" defaultColWidth="10.6640625" defaultRowHeight="16" x14ac:dyDescent="0.2"/>
  <cols>
    <col min="1" max="1" width="36" bestFit="1" customWidth="1"/>
    <col min="2" max="2" width="20.83203125" customWidth="1"/>
    <col min="4" max="4" width="21.83203125" customWidth="1"/>
    <col min="5" max="5" width="16.33203125" customWidth="1"/>
    <col min="6" max="6" width="36" bestFit="1" customWidth="1"/>
    <col min="7" max="7" width="23.1640625" customWidth="1"/>
    <col min="8" max="8" width="14.33203125" bestFit="1" customWidth="1"/>
    <col min="9" max="9" width="11.6640625" customWidth="1"/>
    <col min="10" max="10" width="16.1640625" customWidth="1"/>
    <col min="11" max="12" width="11" bestFit="1" customWidth="1"/>
    <col min="13" max="13" width="16.1640625" customWidth="1"/>
    <col min="14" max="14" width="14.33203125" bestFit="1" customWidth="1"/>
    <col min="15" max="15" width="12.33203125" bestFit="1" customWidth="1"/>
    <col min="16" max="28" width="11" bestFit="1" customWidth="1"/>
    <col min="29" max="29" width="10.83203125" bestFit="1" customWidth="1"/>
    <col min="30" max="38" width="11" bestFit="1" customWidth="1"/>
  </cols>
  <sheetData>
    <row r="1" spans="1:17" ht="19" x14ac:dyDescent="0.25">
      <c r="A1" s="2" t="s">
        <v>0</v>
      </c>
    </row>
    <row r="2" spans="1:17" x14ac:dyDescent="0.2">
      <c r="A2" t="s">
        <v>1</v>
      </c>
    </row>
    <row r="4" spans="1:17" x14ac:dyDescent="0.2">
      <c r="A4" s="1" t="s">
        <v>2</v>
      </c>
    </row>
    <row r="5" spans="1:17" ht="34" x14ac:dyDescent="0.2">
      <c r="A5" s="7" t="s">
        <v>3</v>
      </c>
      <c r="B5" s="3" t="s">
        <v>4</v>
      </c>
      <c r="D5" s="7" t="s">
        <v>5</v>
      </c>
      <c r="E5" s="3">
        <v>34</v>
      </c>
      <c r="G5" s="7" t="s">
        <v>6</v>
      </c>
      <c r="H5" s="6">
        <v>0.01</v>
      </c>
      <c r="J5" s="7" t="s">
        <v>7</v>
      </c>
      <c r="K5" s="6">
        <v>0.04</v>
      </c>
    </row>
    <row r="6" spans="1:17" ht="34" x14ac:dyDescent="0.2">
      <c r="A6" s="7" t="s">
        <v>8</v>
      </c>
      <c r="B6" s="5">
        <v>-5300000</v>
      </c>
      <c r="D6" s="7" t="s">
        <v>9</v>
      </c>
      <c r="E6" s="3">
        <v>1875</v>
      </c>
      <c r="G6" s="7" t="s">
        <v>10</v>
      </c>
      <c r="H6" s="3">
        <v>40</v>
      </c>
      <c r="J6" s="7" t="s">
        <v>11</v>
      </c>
      <c r="K6" s="3">
        <v>25</v>
      </c>
    </row>
    <row r="7" spans="1:17" ht="34" x14ac:dyDescent="0.2">
      <c r="A7" s="7" t="s">
        <v>12</v>
      </c>
      <c r="B7" s="6">
        <v>0.23</v>
      </c>
      <c r="D7" s="7" t="s">
        <v>13</v>
      </c>
      <c r="E7" s="4">
        <f>B8/E6</f>
        <v>-2298.1029810298105</v>
      </c>
      <c r="G7" s="7" t="s">
        <v>14</v>
      </c>
      <c r="H7" s="6">
        <v>0.4</v>
      </c>
      <c r="J7" s="7" t="s">
        <v>15</v>
      </c>
      <c r="K7" s="6">
        <v>0.06</v>
      </c>
    </row>
    <row r="8" spans="1:17" ht="34" x14ac:dyDescent="0.2">
      <c r="A8" s="7" t="s">
        <v>16</v>
      </c>
      <c r="B8" s="4">
        <f>B6/(1+$B$7)</f>
        <v>-4308943.0894308947</v>
      </c>
      <c r="D8" s="7" t="s">
        <v>17</v>
      </c>
      <c r="E8" s="6">
        <v>1</v>
      </c>
      <c r="G8" s="7" t="s">
        <v>18</v>
      </c>
      <c r="H8" s="5">
        <v>1980</v>
      </c>
      <c r="J8" s="7" t="s">
        <v>19</v>
      </c>
      <c r="K8" s="3">
        <v>25</v>
      </c>
    </row>
    <row r="9" spans="1:17" ht="34" x14ac:dyDescent="0.2">
      <c r="A9" s="7" t="s">
        <v>89</v>
      </c>
      <c r="B9" s="3" t="s">
        <v>52</v>
      </c>
      <c r="D9" s="7" t="s">
        <v>20</v>
      </c>
      <c r="E9" s="3">
        <v>2663</v>
      </c>
      <c r="G9" s="7" t="s">
        <v>21</v>
      </c>
      <c r="H9" s="5">
        <v>2140</v>
      </c>
    </row>
    <row r="10" spans="1:17" x14ac:dyDescent="0.2">
      <c r="A10" s="7"/>
      <c r="D10" s="7"/>
      <c r="G10" s="7"/>
      <c r="M10" t="s">
        <v>88</v>
      </c>
      <c r="N10" s="4">
        <f>IF($B$9="BOB",N12,N11)</f>
        <v>1688750</v>
      </c>
    </row>
    <row r="11" spans="1:17" ht="51" x14ac:dyDescent="0.2">
      <c r="A11" s="7" t="s">
        <v>22</v>
      </c>
      <c r="B11" s="6">
        <v>0.05</v>
      </c>
      <c r="D11" s="7" t="s">
        <v>23</v>
      </c>
      <c r="E11" s="5">
        <v>7</v>
      </c>
      <c r="G11" s="7" t="s">
        <v>24</v>
      </c>
      <c r="H11" s="4">
        <f>MIN(H9,-$E$7)*$E$6*0.9</f>
        <v>3611250</v>
      </c>
      <c r="I11" s="20"/>
      <c r="J11" s="7" t="s">
        <v>25</v>
      </c>
      <c r="K11" s="3">
        <v>10</v>
      </c>
      <c r="M11" s="7" t="s">
        <v>26</v>
      </c>
      <c r="N11" s="4">
        <f>-B8*(1+$B$12)-H11</f>
        <v>1688750</v>
      </c>
      <c r="O11" s="20"/>
    </row>
    <row r="12" spans="1:17" ht="51" x14ac:dyDescent="0.2">
      <c r="A12" s="7" t="s">
        <v>27</v>
      </c>
      <c r="B12" s="6">
        <v>0.23</v>
      </c>
      <c r="D12" s="7" t="s">
        <v>28</v>
      </c>
      <c r="E12" s="5">
        <v>2.5</v>
      </c>
      <c r="G12" s="7" t="s">
        <v>29</v>
      </c>
      <c r="H12" s="4">
        <f>MIN(H8,-$E$7)*$E$6</f>
        <v>3712500</v>
      </c>
      <c r="I12" s="20"/>
      <c r="J12" s="7" t="s">
        <v>30</v>
      </c>
      <c r="K12" s="13">
        <v>0.05</v>
      </c>
      <c r="M12" s="7" t="s">
        <v>31</v>
      </c>
      <c r="N12" s="4">
        <f>MAX(N13-H12,0)</f>
        <v>0</v>
      </c>
      <c r="O12" s="20"/>
      <c r="P12" s="20"/>
      <c r="Q12" s="21"/>
    </row>
    <row r="13" spans="1:17" ht="34" x14ac:dyDescent="0.2">
      <c r="A13" s="7" t="s">
        <v>32</v>
      </c>
      <c r="B13" s="6">
        <v>0.02</v>
      </c>
      <c r="D13" s="7" t="s">
        <v>33</v>
      </c>
      <c r="E13" s="5">
        <v>1.5</v>
      </c>
      <c r="G13" s="7" t="s">
        <v>34</v>
      </c>
      <c r="H13" s="4">
        <f>(E11+E13)*E6*12</f>
        <v>191250</v>
      </c>
      <c r="J13" s="7" t="s">
        <v>35</v>
      </c>
      <c r="K13" s="13">
        <v>7.0000000000000001E-3</v>
      </c>
      <c r="M13" s="7" t="s">
        <v>36</v>
      </c>
      <c r="N13" s="4">
        <f>MAX((-SUM(E44:AL44)+SUMIFS(E24:AL24,E18:AL18,"&gt;0"))*(1+B11)*(1+K14),0)</f>
        <v>0</v>
      </c>
      <c r="P13" s="23"/>
      <c r="Q13" s="21"/>
    </row>
    <row r="14" spans="1:17" ht="51" x14ac:dyDescent="0.2">
      <c r="A14" s="7" t="s">
        <v>37</v>
      </c>
      <c r="B14" s="3">
        <v>1.5</v>
      </c>
      <c r="D14" s="7" t="s">
        <v>38</v>
      </c>
      <c r="E14" s="5">
        <v>-11.3</v>
      </c>
      <c r="G14" s="7" t="s">
        <v>39</v>
      </c>
      <c r="H14" s="4">
        <f>(E9-E6)*E12*12</f>
        <v>23640</v>
      </c>
      <c r="J14" s="7" t="s">
        <v>40</v>
      </c>
      <c r="K14" s="13">
        <v>0.05</v>
      </c>
      <c r="M14" s="7" t="s">
        <v>41</v>
      </c>
      <c r="N14" s="4">
        <v>-1100</v>
      </c>
    </row>
    <row r="16" spans="1:17" ht="19" x14ac:dyDescent="0.25">
      <c r="A16" s="2" t="s">
        <v>42</v>
      </c>
    </row>
    <row r="17" spans="1:38" ht="19" x14ac:dyDescent="0.25">
      <c r="A17" s="2"/>
    </row>
    <row r="18" spans="1:38" s="14" customFormat="1" x14ac:dyDescent="0.2">
      <c r="A18" s="14" t="s">
        <v>43</v>
      </c>
      <c r="E18" s="14">
        <f>IF(E$19&lt;=ROUNDDOWN($B$14,0),(ROUNDDOWN($B$14,0)/$B$14)/ROUNDDOWN($B$14,0),IF(E$19=ROUNDUP($B$14,0),1-SUM($D$18:D18),0))</f>
        <v>0.66666666666666663</v>
      </c>
      <c r="F18" s="14">
        <f>IF(F$19&lt;=ROUNDDOWN($B$14,0),(ROUNDDOWN($B$14,0)/$B$14)/ROUNDDOWN($B$14,0),IF(F$19=ROUNDUP($B$14,0),1-SUM($D$18:E18),0))</f>
        <v>0.33333333333333337</v>
      </c>
      <c r="G18" s="14">
        <f>IF(G$19&lt;=ROUNDDOWN($B$14,0),(ROUNDDOWN($B$14,0)/$B$14)/ROUNDDOWN($B$14,0),IF(G$19=ROUNDUP($B$14,0),1-SUM($D$18:F18),0))</f>
        <v>0</v>
      </c>
      <c r="H18" s="14">
        <f>IF(H$19&lt;=ROUNDDOWN($B$14,0),(ROUNDDOWN($B$14,0)/$B$14)/ROUNDDOWN($B$14,0),IF(H$19=ROUNDUP($B$14,0),1-SUM($D$18:G18),0))</f>
        <v>0</v>
      </c>
      <c r="I18" s="14">
        <f>IF(I$19&lt;=ROUNDDOWN($B$14,0),(ROUNDDOWN($B$14,0)/$B$14)/ROUNDDOWN($B$14,0),IF(I$19=ROUNDUP($B$14,0),1-SUM($D$18:H18),0))</f>
        <v>0</v>
      </c>
      <c r="J18" s="14">
        <f>IF(J$19&lt;=ROUNDDOWN($B$14,0),(ROUNDDOWN($B$14,0)/$B$14)/ROUNDDOWN($B$14,0),IF(J$19=ROUNDUP($B$14,0),1-SUM($D$18:I18),0))</f>
        <v>0</v>
      </c>
      <c r="K18" s="14">
        <f>IF(K$19&lt;=ROUNDDOWN($B$14,0),(ROUNDDOWN($B$14,0)/$B$14)/ROUNDDOWN($B$14,0),IF(K$19=ROUNDUP($B$14,0),1-SUM($D$18:J18),0))</f>
        <v>0</v>
      </c>
      <c r="L18" s="14">
        <f>IF(L$19&lt;=ROUNDDOWN($B$14,0),(ROUNDDOWN($B$14,0)/$B$14)/ROUNDDOWN($B$14,0),IF(L$19=ROUNDUP($B$14,0),1-SUM($D$18:K18),0))</f>
        <v>0</v>
      </c>
      <c r="M18" s="14">
        <f>IF(M$19&lt;=ROUNDDOWN($B$14,0),(ROUNDDOWN($B$14,0)/$B$14)/ROUNDDOWN($B$14,0),IF(M$19=ROUNDUP($B$14,0),1-SUM($D$18:L18),0))</f>
        <v>0</v>
      </c>
    </row>
    <row r="19" spans="1:38" x14ac:dyDescent="0.2">
      <c r="A19" s="1" t="s">
        <v>44</v>
      </c>
      <c r="B19" s="1" t="s">
        <v>45</v>
      </c>
      <c r="C19" s="1" t="s">
        <v>46</v>
      </c>
      <c r="D19" s="1" t="s">
        <v>47</v>
      </c>
      <c r="E19" s="1">
        <v>1</v>
      </c>
      <c r="F19" s="1">
        <v>2</v>
      </c>
      <c r="G19" s="1">
        <v>3</v>
      </c>
      <c r="H19" s="1">
        <v>4</v>
      </c>
      <c r="I19" s="1">
        <v>5</v>
      </c>
      <c r="J19" s="1">
        <v>6</v>
      </c>
      <c r="K19" s="1">
        <v>7</v>
      </c>
      <c r="L19" s="1">
        <v>8</v>
      </c>
      <c r="M19" s="1">
        <v>9</v>
      </c>
      <c r="N19" s="1">
        <v>10</v>
      </c>
      <c r="O19" s="1">
        <v>11</v>
      </c>
      <c r="P19" s="1">
        <v>12</v>
      </c>
      <c r="Q19" s="1">
        <v>13</v>
      </c>
      <c r="R19" s="1">
        <v>14</v>
      </c>
      <c r="S19" s="1">
        <v>15</v>
      </c>
      <c r="T19" s="1">
        <v>16</v>
      </c>
      <c r="U19" s="1">
        <v>17</v>
      </c>
      <c r="V19" s="1">
        <v>18</v>
      </c>
      <c r="W19" s="1">
        <v>19</v>
      </c>
      <c r="X19" s="1">
        <v>20</v>
      </c>
      <c r="Y19" s="1">
        <v>21</v>
      </c>
      <c r="Z19" s="1">
        <v>22</v>
      </c>
      <c r="AA19" s="1">
        <v>23</v>
      </c>
      <c r="AB19" s="1">
        <v>24</v>
      </c>
      <c r="AC19" s="1">
        <v>25</v>
      </c>
      <c r="AD19" s="1">
        <v>26</v>
      </c>
      <c r="AE19" s="1">
        <v>27</v>
      </c>
      <c r="AF19" s="1">
        <v>28</v>
      </c>
      <c r="AG19" s="1">
        <v>29</v>
      </c>
      <c r="AH19" s="1">
        <v>30</v>
      </c>
      <c r="AI19" s="1">
        <v>31</v>
      </c>
      <c r="AJ19" s="1">
        <v>32</v>
      </c>
      <c r="AK19" s="1">
        <v>33</v>
      </c>
      <c r="AL19" s="1">
        <v>34</v>
      </c>
    </row>
    <row r="20" spans="1:38" x14ac:dyDescent="0.2">
      <c r="A20" s="8" t="s">
        <v>48</v>
      </c>
    </row>
    <row r="21" spans="1:38" x14ac:dyDescent="0.2">
      <c r="A21" t="s">
        <v>49</v>
      </c>
      <c r="B21" t="str">
        <f>$B$9</f>
        <v>HMBA</v>
      </c>
      <c r="C21" t="b">
        <f>B21="BOB"</f>
        <v>0</v>
      </c>
      <c r="D21" s="10">
        <f>E21+NPV($K$5,F21:AK21)</f>
        <v>-5232051.282051282</v>
      </c>
      <c r="E21" s="9">
        <f>IF($B21="BOB",$B$8,$B$6)*E$18</f>
        <v>-3533333.333333333</v>
      </c>
      <c r="F21" s="9">
        <f t="shared" ref="F21:AL21" si="0">IF($B21="BOB",$B$8,$B$6)*F$18</f>
        <v>-1766666.666666667</v>
      </c>
      <c r="G21" s="9">
        <f t="shared" si="0"/>
        <v>0</v>
      </c>
      <c r="H21" s="9">
        <f t="shared" si="0"/>
        <v>0</v>
      </c>
      <c r="I21" s="9">
        <f t="shared" si="0"/>
        <v>0</v>
      </c>
      <c r="J21" s="9">
        <f t="shared" si="0"/>
        <v>0</v>
      </c>
      <c r="K21" s="9">
        <f t="shared" si="0"/>
        <v>0</v>
      </c>
      <c r="L21" s="9">
        <f t="shared" si="0"/>
        <v>0</v>
      </c>
      <c r="M21" s="9">
        <f t="shared" si="0"/>
        <v>0</v>
      </c>
      <c r="N21" s="9">
        <f t="shared" si="0"/>
        <v>0</v>
      </c>
      <c r="O21" s="9">
        <f t="shared" si="0"/>
        <v>0</v>
      </c>
      <c r="P21" s="9">
        <f t="shared" si="0"/>
        <v>0</v>
      </c>
      <c r="Q21" s="9">
        <f t="shared" si="0"/>
        <v>0</v>
      </c>
      <c r="R21" s="9">
        <f t="shared" si="0"/>
        <v>0</v>
      </c>
      <c r="S21" s="9">
        <f t="shared" si="0"/>
        <v>0</v>
      </c>
      <c r="T21" s="9">
        <f t="shared" si="0"/>
        <v>0</v>
      </c>
      <c r="U21" s="9">
        <f t="shared" si="0"/>
        <v>0</v>
      </c>
      <c r="V21" s="9">
        <f t="shared" si="0"/>
        <v>0</v>
      </c>
      <c r="W21" s="9">
        <f t="shared" si="0"/>
        <v>0</v>
      </c>
      <c r="X21" s="9">
        <f t="shared" si="0"/>
        <v>0</v>
      </c>
      <c r="Y21" s="9">
        <f t="shared" si="0"/>
        <v>0</v>
      </c>
      <c r="Z21" s="9">
        <f t="shared" si="0"/>
        <v>0</v>
      </c>
      <c r="AA21" s="9">
        <f t="shared" si="0"/>
        <v>0</v>
      </c>
      <c r="AB21" s="9">
        <f t="shared" si="0"/>
        <v>0</v>
      </c>
      <c r="AC21" s="9">
        <f t="shared" si="0"/>
        <v>0</v>
      </c>
      <c r="AD21" s="9">
        <f t="shared" si="0"/>
        <v>0</v>
      </c>
      <c r="AE21" s="9">
        <f t="shared" si="0"/>
        <v>0</v>
      </c>
      <c r="AF21" s="9">
        <f t="shared" si="0"/>
        <v>0</v>
      </c>
      <c r="AG21" s="9">
        <f t="shared" si="0"/>
        <v>0</v>
      </c>
      <c r="AH21" s="9">
        <f t="shared" si="0"/>
        <v>0</v>
      </c>
      <c r="AI21" s="9">
        <f t="shared" si="0"/>
        <v>0</v>
      </c>
      <c r="AJ21" s="9">
        <f t="shared" si="0"/>
        <v>0</v>
      </c>
      <c r="AK21" s="9">
        <f t="shared" si="0"/>
        <v>0</v>
      </c>
      <c r="AL21" s="9">
        <f t="shared" si="0"/>
        <v>0</v>
      </c>
    </row>
    <row r="22" spans="1:38" x14ac:dyDescent="0.2">
      <c r="A22" t="s">
        <v>51</v>
      </c>
      <c r="B22" t="s">
        <v>52</v>
      </c>
      <c r="C22" t="b">
        <f>B22="BOB"</f>
        <v>0</v>
      </c>
      <c r="D22" s="10">
        <f>E22+NPV($K$5,F22:AK22)</f>
        <v>-366991.81970686093</v>
      </c>
      <c r="E22" s="9">
        <f>IF(E$19&lt;($K$11+ROUNDUP($B$14,0)),0,IF(MOD(E$19-ROUNDUP($B$14,0),$K$11)=0,$B$6*$K$12*POWER(1+$B$13,E$19-ROUNDUP(E19,0)),0))</f>
        <v>0</v>
      </c>
      <c r="F22" s="9">
        <f t="shared" ref="F22:AL22" si="1">IF(F$19&lt;($K$11+ROUNDUP($B$14,0)),0,IF(MOD(F$19-ROUNDUP($B$14,0),$K$11)=0,$B$6*$K$12*POWER(1+$B$13,F$19-ROUNDUP(F19,0)),0))</f>
        <v>0</v>
      </c>
      <c r="G22" s="9">
        <f t="shared" si="1"/>
        <v>0</v>
      </c>
      <c r="H22" s="9">
        <f t="shared" si="1"/>
        <v>0</v>
      </c>
      <c r="I22" s="9">
        <f t="shared" si="1"/>
        <v>0</v>
      </c>
      <c r="J22" s="9">
        <f t="shared" si="1"/>
        <v>0</v>
      </c>
      <c r="K22" s="9">
        <f t="shared" si="1"/>
        <v>0</v>
      </c>
      <c r="L22" s="9">
        <f t="shared" si="1"/>
        <v>0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-265000</v>
      </c>
      <c r="Q22" s="9">
        <f t="shared" si="1"/>
        <v>0</v>
      </c>
      <c r="R22" s="9">
        <f t="shared" si="1"/>
        <v>0</v>
      </c>
      <c r="S22" s="9">
        <f t="shared" si="1"/>
        <v>0</v>
      </c>
      <c r="T22" s="9">
        <f t="shared" si="1"/>
        <v>0</v>
      </c>
      <c r="U22" s="9">
        <f t="shared" si="1"/>
        <v>0</v>
      </c>
      <c r="V22" s="9">
        <f t="shared" si="1"/>
        <v>0</v>
      </c>
      <c r="W22" s="9">
        <f t="shared" si="1"/>
        <v>0</v>
      </c>
      <c r="X22" s="9">
        <f t="shared" si="1"/>
        <v>0</v>
      </c>
      <c r="Y22" s="9">
        <f t="shared" si="1"/>
        <v>0</v>
      </c>
      <c r="Z22" s="9">
        <f t="shared" si="1"/>
        <v>-265000</v>
      </c>
      <c r="AA22" s="9">
        <f t="shared" si="1"/>
        <v>0</v>
      </c>
      <c r="AB22" s="9">
        <f t="shared" si="1"/>
        <v>0</v>
      </c>
      <c r="AC22" s="9">
        <f t="shared" si="1"/>
        <v>0</v>
      </c>
      <c r="AD22" s="9">
        <f t="shared" si="1"/>
        <v>0</v>
      </c>
      <c r="AE22" s="9">
        <f t="shared" si="1"/>
        <v>0</v>
      </c>
      <c r="AF22" s="9">
        <f t="shared" si="1"/>
        <v>0</v>
      </c>
      <c r="AG22" s="9">
        <f t="shared" si="1"/>
        <v>0</v>
      </c>
      <c r="AH22" s="9">
        <f t="shared" si="1"/>
        <v>0</v>
      </c>
      <c r="AI22" s="9">
        <f t="shared" si="1"/>
        <v>0</v>
      </c>
      <c r="AJ22" s="9">
        <f t="shared" si="1"/>
        <v>-265000</v>
      </c>
      <c r="AK22" s="9">
        <f t="shared" si="1"/>
        <v>0</v>
      </c>
      <c r="AL22" s="9">
        <f t="shared" si="1"/>
        <v>0</v>
      </c>
    </row>
    <row r="23" spans="1:38" x14ac:dyDescent="0.2">
      <c r="D23" s="10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</row>
    <row r="24" spans="1:38" s="16" customFormat="1" x14ac:dyDescent="0.2">
      <c r="A24" s="15" t="s">
        <v>53</v>
      </c>
      <c r="B24" s="15" t="s">
        <v>50</v>
      </c>
      <c r="D24" s="17">
        <f>E24+NPV($K$5,F24:AK24)</f>
        <v>0</v>
      </c>
      <c r="E24" s="18">
        <f t="shared" ref="E24:AL24" si="2">SUMIFS(E$21:E$23,$C$21:$C$23,TRUE)*$B$12</f>
        <v>0</v>
      </c>
      <c r="F24" s="18">
        <f t="shared" si="2"/>
        <v>0</v>
      </c>
      <c r="G24" s="18">
        <f t="shared" si="2"/>
        <v>0</v>
      </c>
      <c r="H24" s="18">
        <f t="shared" si="2"/>
        <v>0</v>
      </c>
      <c r="I24" s="18">
        <f t="shared" si="2"/>
        <v>0</v>
      </c>
      <c r="J24" s="18">
        <f t="shared" si="2"/>
        <v>0</v>
      </c>
      <c r="K24" s="18">
        <f t="shared" si="2"/>
        <v>0</v>
      </c>
      <c r="L24" s="18">
        <f t="shared" si="2"/>
        <v>0</v>
      </c>
      <c r="M24" s="18">
        <f t="shared" si="2"/>
        <v>0</v>
      </c>
      <c r="N24" s="18">
        <f t="shared" si="2"/>
        <v>0</v>
      </c>
      <c r="O24" s="18">
        <f t="shared" si="2"/>
        <v>0</v>
      </c>
      <c r="P24" s="18">
        <f t="shared" si="2"/>
        <v>0</v>
      </c>
      <c r="Q24" s="18">
        <f t="shared" si="2"/>
        <v>0</v>
      </c>
      <c r="R24" s="18">
        <f t="shared" si="2"/>
        <v>0</v>
      </c>
      <c r="S24" s="18">
        <f t="shared" si="2"/>
        <v>0</v>
      </c>
      <c r="T24" s="18">
        <f t="shared" si="2"/>
        <v>0</v>
      </c>
      <c r="U24" s="18">
        <f t="shared" si="2"/>
        <v>0</v>
      </c>
      <c r="V24" s="18">
        <f t="shared" si="2"/>
        <v>0</v>
      </c>
      <c r="W24" s="18">
        <f t="shared" si="2"/>
        <v>0</v>
      </c>
      <c r="X24" s="18">
        <f t="shared" si="2"/>
        <v>0</v>
      </c>
      <c r="Y24" s="18">
        <f t="shared" si="2"/>
        <v>0</v>
      </c>
      <c r="Z24" s="18">
        <f t="shared" si="2"/>
        <v>0</v>
      </c>
      <c r="AA24" s="18">
        <f t="shared" si="2"/>
        <v>0</v>
      </c>
      <c r="AB24" s="18">
        <f t="shared" si="2"/>
        <v>0</v>
      </c>
      <c r="AC24" s="18">
        <f t="shared" si="2"/>
        <v>0</v>
      </c>
      <c r="AD24" s="18">
        <f t="shared" si="2"/>
        <v>0</v>
      </c>
      <c r="AE24" s="18">
        <f t="shared" si="2"/>
        <v>0</v>
      </c>
      <c r="AF24" s="18">
        <f t="shared" si="2"/>
        <v>0</v>
      </c>
      <c r="AG24" s="18">
        <f t="shared" si="2"/>
        <v>0</v>
      </c>
      <c r="AH24" s="18">
        <f t="shared" si="2"/>
        <v>0</v>
      </c>
      <c r="AI24" s="18">
        <f t="shared" si="2"/>
        <v>0</v>
      </c>
      <c r="AJ24" s="18">
        <f t="shared" si="2"/>
        <v>0</v>
      </c>
      <c r="AK24" s="18">
        <f t="shared" si="2"/>
        <v>0</v>
      </c>
      <c r="AL24" s="18">
        <f t="shared" si="2"/>
        <v>0</v>
      </c>
    </row>
    <row r="26" spans="1:38" x14ac:dyDescent="0.2">
      <c r="A26" s="8" t="s">
        <v>54</v>
      </c>
    </row>
    <row r="27" spans="1:38" x14ac:dyDescent="0.2">
      <c r="A27" t="s">
        <v>55</v>
      </c>
      <c r="B27" t="s">
        <v>52</v>
      </c>
      <c r="C27" t="b">
        <v>0</v>
      </c>
      <c r="D27" s="10">
        <f>E27+NPV($K$5,F27:AK27)</f>
        <v>4376667.6488935044</v>
      </c>
      <c r="E27" s="9">
        <f t="shared" ref="E27:F27" si="3">IF(E19&gt;$B$14,$H$13*POWER(1+$B$13,E$19-$B$14),0)*(1-(($B$14-ROUNDDOWN($B$14,0))*IF(E$19=ROUNDUP($B$14,0),1,0)))</f>
        <v>0</v>
      </c>
      <c r="F27" s="9">
        <f t="shared" si="3"/>
        <v>96576.515973087371</v>
      </c>
      <c r="G27" s="9">
        <f>IF(G19&gt;$B$14,$H$13*POWER(1+$B$13,G$19-$B$14),0)*(1-(($B$14-ROUNDDOWN($B$14,0))*IF(G$19=ROUNDUP($B$14,0),1,0)))</f>
        <v>197016.09258509826</v>
      </c>
      <c r="H27" s="9">
        <f t="shared" ref="H27:AL27" si="4">IF(H19&gt;$B$14,$H$13*POWER(1+$B$13,H$19-$B$14),0)*(1-(($B$14-ROUNDDOWN($B$14,0))*IF(H$19=ROUNDUP($B$14,0),1,0)))</f>
        <v>200956.4144368002</v>
      </c>
      <c r="I27" s="9">
        <f t="shared" si="4"/>
        <v>204975.54272553619</v>
      </c>
      <c r="J27" s="9">
        <f t="shared" si="4"/>
        <v>209075.05358004692</v>
      </c>
      <c r="K27" s="9">
        <f t="shared" si="4"/>
        <v>213256.55465164786</v>
      </c>
      <c r="L27" s="9">
        <f t="shared" si="4"/>
        <v>217521.68574468087</v>
      </c>
      <c r="M27" s="9">
        <f t="shared" si="4"/>
        <v>221872.11945957446</v>
      </c>
      <c r="N27" s="9">
        <f t="shared" si="4"/>
        <v>226309.56184876597</v>
      </c>
      <c r="O27" s="9">
        <f t="shared" si="4"/>
        <v>230835.75308574128</v>
      </c>
      <c r="P27" s="9">
        <f t="shared" si="4"/>
        <v>235452.46814745612</v>
      </c>
      <c r="Q27" s="9">
        <f t="shared" si="4"/>
        <v>240161.51751040525</v>
      </c>
      <c r="R27" s="9">
        <f t="shared" si="4"/>
        <v>244964.74786061334</v>
      </c>
      <c r="S27" s="9">
        <f t="shared" si="4"/>
        <v>249864.04281782563</v>
      </c>
      <c r="T27" s="9">
        <f t="shared" si="4"/>
        <v>254861.32367418215</v>
      </c>
      <c r="U27" s="9">
        <f t="shared" si="4"/>
        <v>259958.55014766581</v>
      </c>
      <c r="V27" s="9">
        <f t="shared" si="4"/>
        <v>265157.72115061909</v>
      </c>
      <c r="W27" s="9">
        <f t="shared" si="4"/>
        <v>270460.87557363149</v>
      </c>
      <c r="X27" s="9">
        <f t="shared" si="4"/>
        <v>275870.09308510413</v>
      </c>
      <c r="Y27" s="9">
        <f t="shared" si="4"/>
        <v>281387.49494680623</v>
      </c>
      <c r="Z27" s="9">
        <f t="shared" si="4"/>
        <v>287015.2448457423</v>
      </c>
      <c r="AA27" s="9">
        <f t="shared" si="4"/>
        <v>292755.54974265723</v>
      </c>
      <c r="AB27" s="9">
        <f t="shared" si="4"/>
        <v>298610.66073751036</v>
      </c>
      <c r="AC27" s="9">
        <f t="shared" si="4"/>
        <v>304582.87395226059</v>
      </c>
      <c r="AD27" s="9">
        <f t="shared" si="4"/>
        <v>310674.53143130575</v>
      </c>
      <c r="AE27" s="9">
        <f t="shared" si="4"/>
        <v>316888.02205993189</v>
      </c>
      <c r="AF27" s="9">
        <f t="shared" si="4"/>
        <v>323225.78250113054</v>
      </c>
      <c r="AG27" s="9">
        <f t="shared" si="4"/>
        <v>329690.29815115314</v>
      </c>
      <c r="AH27" s="9">
        <f t="shared" si="4"/>
        <v>336284.10411417624</v>
      </c>
      <c r="AI27" s="9">
        <f t="shared" si="4"/>
        <v>343009.78619645973</v>
      </c>
      <c r="AJ27" s="9">
        <f t="shared" si="4"/>
        <v>349869.98192038893</v>
      </c>
      <c r="AK27" s="9">
        <f t="shared" si="4"/>
        <v>356867.38155879674</v>
      </c>
      <c r="AL27" s="9">
        <f t="shared" si="4"/>
        <v>364004.72918997268</v>
      </c>
    </row>
    <row r="28" spans="1:38" x14ac:dyDescent="0.2">
      <c r="A28" t="s">
        <v>56</v>
      </c>
      <c r="B28" t="s">
        <v>52</v>
      </c>
      <c r="C28" t="b">
        <v>0</v>
      </c>
      <c r="D28" s="10">
        <f>E28+NPV($K$5,F28:AK28)</f>
        <v>540990.44820832659</v>
      </c>
      <c r="E28" s="9">
        <f>IF(E19&gt;$B$14,$H$14*POWER(1+$B$13,E$19-$B$14),0)*(1-(($B$14-ROUNDDOWN($B$14,0))*IF(E$19=ROUNDUP($B$14,0),1,0)))</f>
        <v>0</v>
      </c>
      <c r="F28" s="9">
        <f t="shared" ref="F28:AL28" si="5">IF(F19&gt;$B$14,$H$14*POWER(1+$B$13,F$19-$B$14),0)*(1-(($B$14-ROUNDDOWN($B$14,0))*IF(F$19=ROUNDUP($B$14,0),1,0)))</f>
        <v>11937.614837143976</v>
      </c>
      <c r="G28" s="9">
        <f t="shared" si="5"/>
        <v>24352.734267773714</v>
      </c>
      <c r="H28" s="9">
        <f t="shared" si="5"/>
        <v>24839.788953129188</v>
      </c>
      <c r="I28" s="9">
        <f t="shared" si="5"/>
        <v>25336.584732191768</v>
      </c>
      <c r="J28" s="9">
        <f t="shared" si="5"/>
        <v>25843.316426835605</v>
      </c>
      <c r="K28" s="9">
        <f t="shared" si="5"/>
        <v>26360.18275537232</v>
      </c>
      <c r="L28" s="9">
        <f t="shared" si="5"/>
        <v>26887.386410479769</v>
      </c>
      <c r="M28" s="9">
        <f t="shared" si="5"/>
        <v>27425.134138689358</v>
      </c>
      <c r="N28" s="9">
        <f t="shared" si="5"/>
        <v>27973.636821463151</v>
      </c>
      <c r="O28" s="9">
        <f t="shared" si="5"/>
        <v>28533.109557892411</v>
      </c>
      <c r="P28" s="9">
        <f t="shared" si="5"/>
        <v>29103.771749050265</v>
      </c>
      <c r="Q28" s="9">
        <f t="shared" si="5"/>
        <v>29685.84718403127</v>
      </c>
      <c r="R28" s="9">
        <f t="shared" si="5"/>
        <v>30279.564127711892</v>
      </c>
      <c r="S28" s="9">
        <f t="shared" si="5"/>
        <v>30885.155410266132</v>
      </c>
      <c r="T28" s="9">
        <f t="shared" si="5"/>
        <v>31502.858518471454</v>
      </c>
      <c r="U28" s="9">
        <f t="shared" si="5"/>
        <v>32132.915688840887</v>
      </c>
      <c r="V28" s="9">
        <f t="shared" si="5"/>
        <v>32775.574002617708</v>
      </c>
      <c r="W28" s="9">
        <f t="shared" si="5"/>
        <v>33431.085482670052</v>
      </c>
      <c r="X28" s="9">
        <f t="shared" si="5"/>
        <v>34099.707192323454</v>
      </c>
      <c r="Y28" s="9">
        <f t="shared" si="5"/>
        <v>34781.701336169928</v>
      </c>
      <c r="Z28" s="9">
        <f t="shared" si="5"/>
        <v>35477.335362893326</v>
      </c>
      <c r="AA28" s="9">
        <f t="shared" si="5"/>
        <v>36186.882070151194</v>
      </c>
      <c r="AB28" s="9">
        <f t="shared" si="5"/>
        <v>36910.619711554224</v>
      </c>
      <c r="AC28" s="9">
        <f t="shared" si="5"/>
        <v>37648.832105785303</v>
      </c>
      <c r="AD28" s="9">
        <f t="shared" si="5"/>
        <v>38401.808747901014</v>
      </c>
      <c r="AE28" s="9">
        <f t="shared" si="5"/>
        <v>39169.844922859033</v>
      </c>
      <c r="AF28" s="9">
        <f t="shared" si="5"/>
        <v>39953.241821316216</v>
      </c>
      <c r="AG28" s="9">
        <f t="shared" si="5"/>
        <v>40752.306657742534</v>
      </c>
      <c r="AH28" s="9">
        <f t="shared" si="5"/>
        <v>41567.352790897392</v>
      </c>
      <c r="AI28" s="9">
        <f t="shared" si="5"/>
        <v>42398.699846715339</v>
      </c>
      <c r="AJ28" s="9">
        <f t="shared" si="5"/>
        <v>43246.673843649638</v>
      </c>
      <c r="AK28" s="9">
        <f t="shared" si="5"/>
        <v>44111.607320522642</v>
      </c>
      <c r="AL28" s="9">
        <f t="shared" si="5"/>
        <v>44993.839466933088</v>
      </c>
    </row>
    <row r="29" spans="1:38" x14ac:dyDescent="0.2">
      <c r="A29" t="s">
        <v>57</v>
      </c>
      <c r="C29" t="b">
        <v>0</v>
      </c>
      <c r="D29" s="10">
        <f>E29+NPV($K$5,F29:AK29)</f>
        <v>-867030.33337108325</v>
      </c>
      <c r="E29" s="9">
        <f>IF(E27&gt;0,$B$6*$K$13*POWER(1+$B$13,E$19-$B$14),0)</f>
        <v>0</v>
      </c>
      <c r="F29" s="9">
        <f t="shared" ref="F29:AL29" si="6">IF(F27&gt;0,$B$6*$K$13*POWER(1+$B$13,F$19-$B$14),0)</f>
        <v>-37469.163321323307</v>
      </c>
      <c r="G29" s="9">
        <f t="shared" si="6"/>
        <v>-38218.546587749777</v>
      </c>
      <c r="H29" s="9">
        <f t="shared" si="6"/>
        <v>-38982.917519504772</v>
      </c>
      <c r="I29" s="9">
        <f t="shared" si="6"/>
        <v>-39762.575869894863</v>
      </c>
      <c r="J29" s="9">
        <f t="shared" si="6"/>
        <v>-40557.827387292768</v>
      </c>
      <c r="K29" s="9">
        <f t="shared" si="6"/>
        <v>-41368.983935038617</v>
      </c>
      <c r="L29" s="9">
        <f t="shared" si="6"/>
        <v>-42196.363613739399</v>
      </c>
      <c r="M29" s="9">
        <f t="shared" si="6"/>
        <v>-43040.290886014183</v>
      </c>
      <c r="N29" s="9">
        <f t="shared" si="6"/>
        <v>-43901.096703734474</v>
      </c>
      <c r="O29" s="9">
        <f t="shared" si="6"/>
        <v>-44779.118637809159</v>
      </c>
      <c r="P29" s="9">
        <f t="shared" si="6"/>
        <v>-45674.701010565346</v>
      </c>
      <c r="Q29" s="9">
        <f t="shared" si="6"/>
        <v>-46588.195030776653</v>
      </c>
      <c r="R29" s="9">
        <f t="shared" si="6"/>
        <v>-47519.958931392182</v>
      </c>
      <c r="S29" s="9">
        <f t="shared" si="6"/>
        <v>-48470.358110020032</v>
      </c>
      <c r="T29" s="9">
        <f t="shared" si="6"/>
        <v>-49439.765272220429</v>
      </c>
      <c r="U29" s="9">
        <f t="shared" si="6"/>
        <v>-50428.560577664844</v>
      </c>
      <c r="V29" s="9">
        <f t="shared" si="6"/>
        <v>-51437.13178921814</v>
      </c>
      <c r="W29" s="9">
        <f t="shared" si="6"/>
        <v>-52465.874425002497</v>
      </c>
      <c r="X29" s="9">
        <f t="shared" si="6"/>
        <v>-53515.191913502546</v>
      </c>
      <c r="Y29" s="9">
        <f t="shared" si="6"/>
        <v>-54585.495751772607</v>
      </c>
      <c r="Z29" s="9">
        <f t="shared" si="6"/>
        <v>-55677.205666808055</v>
      </c>
      <c r="AA29" s="9">
        <f t="shared" si="6"/>
        <v>-56790.749780144222</v>
      </c>
      <c r="AB29" s="9">
        <f t="shared" si="6"/>
        <v>-57926.564775747109</v>
      </c>
      <c r="AC29" s="9">
        <f t="shared" si="6"/>
        <v>-59085.096071262051</v>
      </c>
      <c r="AD29" s="9">
        <f t="shared" si="6"/>
        <v>-60266.797992687287</v>
      </c>
      <c r="AE29" s="9">
        <f t="shared" si="6"/>
        <v>-61472.133952541037</v>
      </c>
      <c r="AF29" s="9">
        <f t="shared" si="6"/>
        <v>-62701.576631591859</v>
      </c>
      <c r="AG29" s="9">
        <f t="shared" si="6"/>
        <v>-63955.60816422369</v>
      </c>
      <c r="AH29" s="9">
        <f t="shared" si="6"/>
        <v>-65234.72032750817</v>
      </c>
      <c r="AI29" s="9">
        <f t="shared" si="6"/>
        <v>-66539.414734058329</v>
      </c>
      <c r="AJ29" s="9">
        <f t="shared" si="6"/>
        <v>-67870.203028739503</v>
      </c>
      <c r="AK29" s="9">
        <f t="shared" si="6"/>
        <v>-69227.607089314304</v>
      </c>
      <c r="AL29" s="9">
        <f t="shared" si="6"/>
        <v>-70612.159231100581</v>
      </c>
    </row>
    <row r="30" spans="1:38" x14ac:dyDescent="0.2">
      <c r="A30" t="s">
        <v>58</v>
      </c>
      <c r="C30" t="b">
        <v>0</v>
      </c>
      <c r="D30" s="10">
        <f>E30+NPV($K$5,F30:AK30)</f>
        <v>366991.81970686093</v>
      </c>
      <c r="E30" s="9">
        <f>-E22</f>
        <v>0</v>
      </c>
      <c r="F30" s="9">
        <f t="shared" ref="F30:AL30" si="7">-F22</f>
        <v>0</v>
      </c>
      <c r="G30" s="9">
        <f t="shared" si="7"/>
        <v>0</v>
      </c>
      <c r="H30" s="9">
        <f t="shared" si="7"/>
        <v>0</v>
      </c>
      <c r="I30" s="9">
        <f t="shared" si="7"/>
        <v>0</v>
      </c>
      <c r="J30" s="9">
        <f t="shared" si="7"/>
        <v>0</v>
      </c>
      <c r="K30" s="9">
        <f t="shared" si="7"/>
        <v>0</v>
      </c>
      <c r="L30" s="9">
        <f t="shared" si="7"/>
        <v>0</v>
      </c>
      <c r="M30" s="9">
        <f t="shared" si="7"/>
        <v>0</v>
      </c>
      <c r="N30" s="9">
        <f t="shared" si="7"/>
        <v>0</v>
      </c>
      <c r="O30" s="9">
        <f t="shared" si="7"/>
        <v>0</v>
      </c>
      <c r="P30" s="9">
        <f t="shared" si="7"/>
        <v>265000</v>
      </c>
      <c r="Q30" s="9">
        <f t="shared" si="7"/>
        <v>0</v>
      </c>
      <c r="R30" s="9">
        <f t="shared" si="7"/>
        <v>0</v>
      </c>
      <c r="S30" s="9">
        <f t="shared" si="7"/>
        <v>0</v>
      </c>
      <c r="T30" s="9">
        <f t="shared" si="7"/>
        <v>0</v>
      </c>
      <c r="U30" s="9">
        <f t="shared" si="7"/>
        <v>0</v>
      </c>
      <c r="V30" s="9">
        <f t="shared" si="7"/>
        <v>0</v>
      </c>
      <c r="W30" s="9">
        <f t="shared" si="7"/>
        <v>0</v>
      </c>
      <c r="X30" s="9">
        <f t="shared" si="7"/>
        <v>0</v>
      </c>
      <c r="Y30" s="9">
        <f t="shared" si="7"/>
        <v>0</v>
      </c>
      <c r="Z30" s="9">
        <f t="shared" si="7"/>
        <v>265000</v>
      </c>
      <c r="AA30" s="9">
        <f t="shared" si="7"/>
        <v>0</v>
      </c>
      <c r="AB30" s="9">
        <f t="shared" si="7"/>
        <v>0</v>
      </c>
      <c r="AC30" s="9">
        <f t="shared" si="7"/>
        <v>0</v>
      </c>
      <c r="AD30" s="9">
        <f t="shared" si="7"/>
        <v>0</v>
      </c>
      <c r="AE30" s="9">
        <f t="shared" si="7"/>
        <v>0</v>
      </c>
      <c r="AF30" s="9">
        <f t="shared" si="7"/>
        <v>0</v>
      </c>
      <c r="AG30" s="9">
        <f t="shared" si="7"/>
        <v>0</v>
      </c>
      <c r="AH30" s="9">
        <f t="shared" si="7"/>
        <v>0</v>
      </c>
      <c r="AI30" s="9">
        <f t="shared" si="7"/>
        <v>0</v>
      </c>
      <c r="AJ30" s="9">
        <f t="shared" si="7"/>
        <v>265000</v>
      </c>
      <c r="AK30" s="9">
        <f t="shared" si="7"/>
        <v>0</v>
      </c>
      <c r="AL30" s="9">
        <f t="shared" si="7"/>
        <v>0</v>
      </c>
    </row>
    <row r="31" spans="1:38" s="16" customFormat="1" x14ac:dyDescent="0.2">
      <c r="A31" s="15" t="s">
        <v>59</v>
      </c>
      <c r="E31" s="18">
        <v>0</v>
      </c>
      <c r="F31" s="18">
        <f>E31-F29-F30</f>
        <v>37469.163321323307</v>
      </c>
      <c r="G31" s="18">
        <f t="shared" ref="G31:AL31" si="8">F31-G29-G30</f>
        <v>75687.709909073077</v>
      </c>
      <c r="H31" s="18">
        <f t="shared" si="8"/>
        <v>114670.62742857785</v>
      </c>
      <c r="I31" s="18">
        <f t="shared" si="8"/>
        <v>154433.20329847271</v>
      </c>
      <c r="J31" s="18">
        <f t="shared" si="8"/>
        <v>194991.03068576549</v>
      </c>
      <c r="K31" s="18">
        <f t="shared" si="8"/>
        <v>236360.01462080411</v>
      </c>
      <c r="L31" s="18">
        <f t="shared" si="8"/>
        <v>278556.37823454349</v>
      </c>
      <c r="M31" s="18">
        <f t="shared" si="8"/>
        <v>321596.66912055766</v>
      </c>
      <c r="N31" s="18">
        <f t="shared" si="8"/>
        <v>365497.76582429215</v>
      </c>
      <c r="O31" s="18">
        <f t="shared" si="8"/>
        <v>410276.88446210133</v>
      </c>
      <c r="P31" s="18">
        <f t="shared" si="8"/>
        <v>190951.58547266666</v>
      </c>
      <c r="Q31" s="18">
        <f t="shared" si="8"/>
        <v>237539.78050344333</v>
      </c>
      <c r="R31" s="18">
        <f t="shared" si="8"/>
        <v>285059.7394348355</v>
      </c>
      <c r="S31" s="18">
        <f t="shared" si="8"/>
        <v>333530.09754485555</v>
      </c>
      <c r="T31" s="18">
        <f t="shared" si="8"/>
        <v>382969.86281707598</v>
      </c>
      <c r="U31" s="18">
        <f t="shared" si="8"/>
        <v>433398.42339474079</v>
      </c>
      <c r="V31" s="18">
        <f t="shared" si="8"/>
        <v>484835.55518395896</v>
      </c>
      <c r="W31" s="18">
        <f t="shared" si="8"/>
        <v>537301.42960896145</v>
      </c>
      <c r="X31" s="18">
        <f t="shared" si="8"/>
        <v>590816.62152246397</v>
      </c>
      <c r="Y31" s="18">
        <f t="shared" si="8"/>
        <v>645402.11727423663</v>
      </c>
      <c r="Z31" s="18">
        <f t="shared" si="8"/>
        <v>436079.32294104469</v>
      </c>
      <c r="AA31" s="18">
        <f t="shared" si="8"/>
        <v>492870.07272118889</v>
      </c>
      <c r="AB31" s="18">
        <f t="shared" si="8"/>
        <v>550796.63749693602</v>
      </c>
      <c r="AC31" s="18">
        <f t="shared" si="8"/>
        <v>609881.73356819805</v>
      </c>
      <c r="AD31" s="18">
        <f t="shared" si="8"/>
        <v>670148.53156088537</v>
      </c>
      <c r="AE31" s="18">
        <f t="shared" si="8"/>
        <v>731620.66551342641</v>
      </c>
      <c r="AF31" s="18">
        <f t="shared" si="8"/>
        <v>794322.2421450183</v>
      </c>
      <c r="AG31" s="18">
        <f t="shared" si="8"/>
        <v>858277.85030924203</v>
      </c>
      <c r="AH31" s="18">
        <f t="shared" si="8"/>
        <v>923512.5706367502</v>
      </c>
      <c r="AI31" s="18">
        <f t="shared" si="8"/>
        <v>990051.98537080851</v>
      </c>
      <c r="AJ31" s="18">
        <f t="shared" si="8"/>
        <v>792922.18839954794</v>
      </c>
      <c r="AK31" s="18">
        <f t="shared" si="8"/>
        <v>862149.7954888622</v>
      </c>
      <c r="AL31" s="18">
        <f t="shared" si="8"/>
        <v>932761.95471996279</v>
      </c>
    </row>
    <row r="33" spans="1:38" x14ac:dyDescent="0.2">
      <c r="A33" s="8" t="s">
        <v>60</v>
      </c>
    </row>
    <row r="34" spans="1:38" x14ac:dyDescent="0.2">
      <c r="A34" t="s">
        <v>61</v>
      </c>
      <c r="B34" t="s">
        <v>50</v>
      </c>
      <c r="C34" t="b">
        <v>0</v>
      </c>
      <c r="D34" s="10">
        <f t="shared" ref="D34:D40" si="9">E34+NPV($K$5,F34:AK34)</f>
        <v>0</v>
      </c>
      <c r="E34" s="9">
        <f>IF($B$21="BOB",IF(E18&gt;0,-E21-E24,0),0)</f>
        <v>0</v>
      </c>
      <c r="F34" s="9">
        <f t="shared" ref="F34:AL34" si="10">IF($B$21="BOB",IF(F18&gt;0,-F21-F24,0),0)</f>
        <v>0</v>
      </c>
      <c r="G34" s="9">
        <f t="shared" si="10"/>
        <v>0</v>
      </c>
      <c r="H34" s="9">
        <f t="shared" si="10"/>
        <v>0</v>
      </c>
      <c r="I34" s="9">
        <f t="shared" si="10"/>
        <v>0</v>
      </c>
      <c r="J34" s="9">
        <f t="shared" si="10"/>
        <v>0</v>
      </c>
      <c r="K34" s="9">
        <f t="shared" si="10"/>
        <v>0</v>
      </c>
      <c r="L34" s="9">
        <f t="shared" si="10"/>
        <v>0</v>
      </c>
      <c r="M34" s="9">
        <f t="shared" si="10"/>
        <v>0</v>
      </c>
      <c r="N34" s="9">
        <f t="shared" si="10"/>
        <v>0</v>
      </c>
      <c r="O34" s="9">
        <f t="shared" si="10"/>
        <v>0</v>
      </c>
      <c r="P34" s="9">
        <f t="shared" si="10"/>
        <v>0</v>
      </c>
      <c r="Q34" s="9">
        <f t="shared" si="10"/>
        <v>0</v>
      </c>
      <c r="R34" s="9">
        <f t="shared" si="10"/>
        <v>0</v>
      </c>
      <c r="S34" s="9">
        <f t="shared" si="10"/>
        <v>0</v>
      </c>
      <c r="T34" s="9">
        <f t="shared" si="10"/>
        <v>0</v>
      </c>
      <c r="U34" s="9">
        <f t="shared" si="10"/>
        <v>0</v>
      </c>
      <c r="V34" s="9">
        <f t="shared" si="10"/>
        <v>0</v>
      </c>
      <c r="W34" s="9">
        <f t="shared" si="10"/>
        <v>0</v>
      </c>
      <c r="X34" s="9">
        <f t="shared" si="10"/>
        <v>0</v>
      </c>
      <c r="Y34" s="9">
        <f t="shared" si="10"/>
        <v>0</v>
      </c>
      <c r="Z34" s="9">
        <f t="shared" si="10"/>
        <v>0</v>
      </c>
      <c r="AA34" s="9">
        <f t="shared" si="10"/>
        <v>0</v>
      </c>
      <c r="AB34" s="9">
        <f t="shared" si="10"/>
        <v>0</v>
      </c>
      <c r="AC34" s="9">
        <f t="shared" si="10"/>
        <v>0</v>
      </c>
      <c r="AD34" s="9">
        <f t="shared" si="10"/>
        <v>0</v>
      </c>
      <c r="AE34" s="9">
        <f t="shared" si="10"/>
        <v>0</v>
      </c>
      <c r="AF34" s="9">
        <f t="shared" si="10"/>
        <v>0</v>
      </c>
      <c r="AG34" s="9">
        <f t="shared" si="10"/>
        <v>0</v>
      </c>
      <c r="AH34" s="9">
        <f t="shared" si="10"/>
        <v>0</v>
      </c>
      <c r="AI34" s="9">
        <f t="shared" si="10"/>
        <v>0</v>
      </c>
      <c r="AJ34" s="9">
        <f t="shared" si="10"/>
        <v>0</v>
      </c>
      <c r="AK34" s="9">
        <f t="shared" si="10"/>
        <v>0</v>
      </c>
      <c r="AL34" s="9">
        <f t="shared" si="10"/>
        <v>0</v>
      </c>
    </row>
    <row r="35" spans="1:38" x14ac:dyDescent="0.2">
      <c r="A35" t="s">
        <v>62</v>
      </c>
      <c r="B35" t="s">
        <v>52</v>
      </c>
      <c r="C35" t="b">
        <v>0</v>
      </c>
      <c r="D35" s="10">
        <f t="shared" si="9"/>
        <v>1388942.3076923077</v>
      </c>
      <c r="E35" s="26">
        <f>IF(E$19=ROUNDUP($B$14,0),IF($B$21="BOB",$H$12,$H$11)*$H$7,0)</f>
        <v>0</v>
      </c>
      <c r="F35" s="26">
        <f t="shared" ref="F35:AL35" si="11">IF(F$19=ROUNDUP($B$14,0),IF($B$21="BOB",$H$12,$H$11)*$H$7,0)</f>
        <v>1444500</v>
      </c>
      <c r="G35" s="26">
        <f t="shared" si="11"/>
        <v>0</v>
      </c>
      <c r="H35" s="26">
        <f t="shared" si="11"/>
        <v>0</v>
      </c>
      <c r="I35" s="26">
        <f t="shared" si="11"/>
        <v>0</v>
      </c>
      <c r="J35" s="26">
        <f t="shared" si="11"/>
        <v>0</v>
      </c>
      <c r="K35" s="26">
        <f t="shared" si="11"/>
        <v>0</v>
      </c>
      <c r="L35" s="26">
        <f t="shared" si="11"/>
        <v>0</v>
      </c>
      <c r="M35" s="26">
        <f t="shared" si="11"/>
        <v>0</v>
      </c>
      <c r="N35" s="26">
        <f t="shared" si="11"/>
        <v>0</v>
      </c>
      <c r="O35" s="26">
        <f t="shared" si="11"/>
        <v>0</v>
      </c>
      <c r="P35" s="26">
        <f t="shared" si="11"/>
        <v>0</v>
      </c>
      <c r="Q35" s="26">
        <f t="shared" si="11"/>
        <v>0</v>
      </c>
      <c r="R35" s="26">
        <f t="shared" si="11"/>
        <v>0</v>
      </c>
      <c r="S35" s="26">
        <f t="shared" si="11"/>
        <v>0</v>
      </c>
      <c r="T35" s="26">
        <f t="shared" si="11"/>
        <v>0</v>
      </c>
      <c r="U35" s="26">
        <f t="shared" si="11"/>
        <v>0</v>
      </c>
      <c r="V35" s="26">
        <f t="shared" si="11"/>
        <v>0</v>
      </c>
      <c r="W35" s="26">
        <f t="shared" si="11"/>
        <v>0</v>
      </c>
      <c r="X35" s="26">
        <f t="shared" si="11"/>
        <v>0</v>
      </c>
      <c r="Y35" s="26">
        <f t="shared" si="11"/>
        <v>0</v>
      </c>
      <c r="Z35" s="26">
        <f t="shared" si="11"/>
        <v>0</v>
      </c>
      <c r="AA35" s="26">
        <f t="shared" si="11"/>
        <v>0</v>
      </c>
      <c r="AB35" s="26">
        <f t="shared" si="11"/>
        <v>0</v>
      </c>
      <c r="AC35" s="26">
        <f t="shared" si="11"/>
        <v>0</v>
      </c>
      <c r="AD35" s="26">
        <f t="shared" si="11"/>
        <v>0</v>
      </c>
      <c r="AE35" s="26">
        <f t="shared" si="11"/>
        <v>0</v>
      </c>
      <c r="AF35" s="26">
        <f t="shared" si="11"/>
        <v>0</v>
      </c>
      <c r="AG35" s="26">
        <f t="shared" si="11"/>
        <v>0</v>
      </c>
      <c r="AH35" s="26">
        <f t="shared" si="11"/>
        <v>0</v>
      </c>
      <c r="AI35" s="26">
        <f t="shared" si="11"/>
        <v>0</v>
      </c>
      <c r="AJ35" s="26">
        <f t="shared" si="11"/>
        <v>0</v>
      </c>
      <c r="AK35" s="26">
        <f t="shared" si="11"/>
        <v>0</v>
      </c>
      <c r="AL35" s="26">
        <f t="shared" si="11"/>
        <v>0</v>
      </c>
    </row>
    <row r="36" spans="1:38" x14ac:dyDescent="0.2">
      <c r="A36" t="s">
        <v>63</v>
      </c>
      <c r="B36" t="s">
        <v>52</v>
      </c>
      <c r="C36" t="b">
        <v>0</v>
      </c>
      <c r="D36" s="10">
        <f t="shared" si="9"/>
        <v>2083413.4615384615</v>
      </c>
      <c r="E36" s="9">
        <f>IF(E$19=ROUNDUP($B$14,0),IF($B$21="BOB",$H$12,$H$11)*(1-$H$7),0)</f>
        <v>0</v>
      </c>
      <c r="F36" s="9">
        <f t="shared" ref="F36:AL36" si="12">IF(F$19=ROUNDUP($B$14,0),IF($B$21="BOB",$H$12,$H$11)*(1-$H$7),0)</f>
        <v>2166750</v>
      </c>
      <c r="G36" s="9">
        <f t="shared" si="12"/>
        <v>0</v>
      </c>
      <c r="H36" s="9">
        <f t="shared" si="12"/>
        <v>0</v>
      </c>
      <c r="I36" s="9">
        <f t="shared" si="12"/>
        <v>0</v>
      </c>
      <c r="J36" s="9">
        <f t="shared" si="12"/>
        <v>0</v>
      </c>
      <c r="K36" s="9">
        <f t="shared" si="12"/>
        <v>0</v>
      </c>
      <c r="L36" s="9">
        <f t="shared" si="12"/>
        <v>0</v>
      </c>
      <c r="M36" s="9">
        <f t="shared" si="12"/>
        <v>0</v>
      </c>
      <c r="N36" s="9">
        <f t="shared" si="12"/>
        <v>0</v>
      </c>
      <c r="O36" s="9">
        <f t="shared" si="12"/>
        <v>0</v>
      </c>
      <c r="P36" s="9">
        <f t="shared" si="12"/>
        <v>0</v>
      </c>
      <c r="Q36" s="9">
        <f t="shared" si="12"/>
        <v>0</v>
      </c>
      <c r="R36" s="9">
        <f t="shared" si="12"/>
        <v>0</v>
      </c>
      <c r="S36" s="9">
        <f t="shared" si="12"/>
        <v>0</v>
      </c>
      <c r="T36" s="9">
        <f t="shared" si="12"/>
        <v>0</v>
      </c>
      <c r="U36" s="9">
        <f t="shared" si="12"/>
        <v>0</v>
      </c>
      <c r="V36" s="9">
        <f t="shared" si="12"/>
        <v>0</v>
      </c>
      <c r="W36" s="9">
        <f t="shared" si="12"/>
        <v>0</v>
      </c>
      <c r="X36" s="9">
        <f t="shared" si="12"/>
        <v>0</v>
      </c>
      <c r="Y36" s="9">
        <f t="shared" si="12"/>
        <v>0</v>
      </c>
      <c r="Z36" s="9">
        <f t="shared" si="12"/>
        <v>0</v>
      </c>
      <c r="AA36" s="9">
        <f t="shared" si="12"/>
        <v>0</v>
      </c>
      <c r="AB36" s="9">
        <f t="shared" si="12"/>
        <v>0</v>
      </c>
      <c r="AC36" s="9">
        <f t="shared" si="12"/>
        <v>0</v>
      </c>
      <c r="AD36" s="9">
        <f t="shared" si="12"/>
        <v>0</v>
      </c>
      <c r="AE36" s="9">
        <f t="shared" si="12"/>
        <v>0</v>
      </c>
      <c r="AF36" s="9">
        <f t="shared" si="12"/>
        <v>0</v>
      </c>
      <c r="AG36" s="9">
        <f t="shared" si="12"/>
        <v>0</v>
      </c>
      <c r="AH36" s="9">
        <f t="shared" si="12"/>
        <v>0</v>
      </c>
      <c r="AI36" s="9">
        <f t="shared" si="12"/>
        <v>0</v>
      </c>
      <c r="AJ36" s="9">
        <f t="shared" si="12"/>
        <v>0</v>
      </c>
      <c r="AK36" s="9">
        <f t="shared" si="12"/>
        <v>0</v>
      </c>
      <c r="AL36" s="9">
        <f t="shared" si="12"/>
        <v>0</v>
      </c>
    </row>
    <row r="37" spans="1:38" x14ac:dyDescent="0.2">
      <c r="A37" t="s">
        <v>64</v>
      </c>
      <c r="B37" t="s">
        <v>52</v>
      </c>
      <c r="C37" t="b">
        <v>0</v>
      </c>
      <c r="D37" s="10">
        <f t="shared" si="9"/>
        <v>1623798.0769230768</v>
      </c>
      <c r="E37" s="9">
        <f>IF(E$19=ROUNDUP($B$14,0),$N$10,0)</f>
        <v>0</v>
      </c>
      <c r="F37" s="9">
        <f t="shared" ref="F37:AL37" si="13">IF(F$19=ROUNDUP($B$14,0),$N$10,0)</f>
        <v>1688750</v>
      </c>
      <c r="G37" s="9">
        <f t="shared" si="13"/>
        <v>0</v>
      </c>
      <c r="H37" s="9">
        <f t="shared" si="13"/>
        <v>0</v>
      </c>
      <c r="I37" s="9">
        <f t="shared" si="13"/>
        <v>0</v>
      </c>
      <c r="J37" s="9">
        <f t="shared" si="13"/>
        <v>0</v>
      </c>
      <c r="K37" s="9">
        <f t="shared" si="13"/>
        <v>0</v>
      </c>
      <c r="L37" s="9">
        <f t="shared" si="13"/>
        <v>0</v>
      </c>
      <c r="M37" s="9">
        <f t="shared" si="13"/>
        <v>0</v>
      </c>
      <c r="N37" s="9">
        <f t="shared" si="13"/>
        <v>0</v>
      </c>
      <c r="O37" s="9">
        <f t="shared" si="13"/>
        <v>0</v>
      </c>
      <c r="P37" s="9">
        <f t="shared" si="13"/>
        <v>0</v>
      </c>
      <c r="Q37" s="9">
        <f t="shared" si="13"/>
        <v>0</v>
      </c>
      <c r="R37" s="9">
        <f t="shared" si="13"/>
        <v>0</v>
      </c>
      <c r="S37" s="9">
        <f t="shared" si="13"/>
        <v>0</v>
      </c>
      <c r="T37" s="9">
        <f t="shared" si="13"/>
        <v>0</v>
      </c>
      <c r="U37" s="9">
        <f t="shared" si="13"/>
        <v>0</v>
      </c>
      <c r="V37" s="9">
        <f t="shared" si="13"/>
        <v>0</v>
      </c>
      <c r="W37" s="9">
        <f t="shared" si="13"/>
        <v>0</v>
      </c>
      <c r="X37" s="9">
        <f t="shared" si="13"/>
        <v>0</v>
      </c>
      <c r="Y37" s="9">
        <f t="shared" si="13"/>
        <v>0</v>
      </c>
      <c r="Z37" s="9">
        <f t="shared" si="13"/>
        <v>0</v>
      </c>
      <c r="AA37" s="9">
        <f t="shared" si="13"/>
        <v>0</v>
      </c>
      <c r="AB37" s="9">
        <f t="shared" si="13"/>
        <v>0</v>
      </c>
      <c r="AC37" s="9">
        <f t="shared" si="13"/>
        <v>0</v>
      </c>
      <c r="AD37" s="9">
        <f t="shared" si="13"/>
        <v>0</v>
      </c>
      <c r="AE37" s="9">
        <f t="shared" si="13"/>
        <v>0</v>
      </c>
      <c r="AF37" s="9">
        <f t="shared" si="13"/>
        <v>0</v>
      </c>
      <c r="AG37" s="9">
        <f t="shared" si="13"/>
        <v>0</v>
      </c>
      <c r="AH37" s="9">
        <f t="shared" si="13"/>
        <v>0</v>
      </c>
      <c r="AI37" s="9">
        <f t="shared" si="13"/>
        <v>0</v>
      </c>
      <c r="AJ37" s="9">
        <f t="shared" si="13"/>
        <v>0</v>
      </c>
      <c r="AK37" s="9">
        <f t="shared" si="13"/>
        <v>0</v>
      </c>
      <c r="AL37" s="9">
        <f t="shared" si="13"/>
        <v>0</v>
      </c>
    </row>
    <row r="38" spans="1:38" x14ac:dyDescent="0.2">
      <c r="A38" t="s">
        <v>65</v>
      </c>
      <c r="B38" t="s">
        <v>52</v>
      </c>
      <c r="C38" t="b">
        <v>0</v>
      </c>
      <c r="D38" s="10">
        <f t="shared" si="9"/>
        <v>0</v>
      </c>
      <c r="E38" s="9">
        <f>IF($B$21="BOB",IF(E$19=ROUNDUP($B$14,0),-$H$12-$N$12,0),0)</f>
        <v>0</v>
      </c>
      <c r="F38" s="9">
        <f t="shared" ref="F38:AL38" si="14">IF($B$21="BOB",IF(F$19=ROUNDUP($B$14,0),-$H$12-$N$12,0),0)</f>
        <v>0</v>
      </c>
      <c r="G38" s="9">
        <f t="shared" si="14"/>
        <v>0</v>
      </c>
      <c r="H38" s="9">
        <f t="shared" si="14"/>
        <v>0</v>
      </c>
      <c r="I38" s="9">
        <f t="shared" si="14"/>
        <v>0</v>
      </c>
      <c r="J38" s="9">
        <f t="shared" si="14"/>
        <v>0</v>
      </c>
      <c r="K38" s="9">
        <f t="shared" si="14"/>
        <v>0</v>
      </c>
      <c r="L38" s="9">
        <f t="shared" si="14"/>
        <v>0</v>
      </c>
      <c r="M38" s="9">
        <f t="shared" si="14"/>
        <v>0</v>
      </c>
      <c r="N38" s="9">
        <f t="shared" si="14"/>
        <v>0</v>
      </c>
      <c r="O38" s="9">
        <f t="shared" si="14"/>
        <v>0</v>
      </c>
      <c r="P38" s="9">
        <f t="shared" si="14"/>
        <v>0</v>
      </c>
      <c r="Q38" s="9">
        <f t="shared" si="14"/>
        <v>0</v>
      </c>
      <c r="R38" s="9">
        <f t="shared" si="14"/>
        <v>0</v>
      </c>
      <c r="S38" s="9">
        <f t="shared" si="14"/>
        <v>0</v>
      </c>
      <c r="T38" s="9">
        <f t="shared" si="14"/>
        <v>0</v>
      </c>
      <c r="U38" s="9">
        <f t="shared" si="14"/>
        <v>0</v>
      </c>
      <c r="V38" s="9">
        <f t="shared" si="14"/>
        <v>0</v>
      </c>
      <c r="W38" s="9">
        <f t="shared" si="14"/>
        <v>0</v>
      </c>
      <c r="X38" s="9">
        <f t="shared" si="14"/>
        <v>0</v>
      </c>
      <c r="Y38" s="9">
        <f t="shared" si="14"/>
        <v>0</v>
      </c>
      <c r="Z38" s="9">
        <f t="shared" si="14"/>
        <v>0</v>
      </c>
      <c r="AA38" s="9">
        <f t="shared" si="14"/>
        <v>0</v>
      </c>
      <c r="AB38" s="9">
        <f t="shared" si="14"/>
        <v>0</v>
      </c>
      <c r="AC38" s="9">
        <f t="shared" si="14"/>
        <v>0</v>
      </c>
      <c r="AD38" s="9">
        <f t="shared" si="14"/>
        <v>0</v>
      </c>
      <c r="AE38" s="9">
        <f t="shared" si="14"/>
        <v>0</v>
      </c>
      <c r="AF38" s="9">
        <f t="shared" si="14"/>
        <v>0</v>
      </c>
      <c r="AG38" s="9">
        <f t="shared" si="14"/>
        <v>0</v>
      </c>
      <c r="AH38" s="9">
        <f t="shared" si="14"/>
        <v>0</v>
      </c>
      <c r="AI38" s="9">
        <f t="shared" si="14"/>
        <v>0</v>
      </c>
      <c r="AJ38" s="9">
        <f t="shared" si="14"/>
        <v>0</v>
      </c>
      <c r="AK38" s="9">
        <f t="shared" si="14"/>
        <v>0</v>
      </c>
      <c r="AL38" s="9">
        <f t="shared" si="14"/>
        <v>0</v>
      </c>
    </row>
    <row r="39" spans="1:38" x14ac:dyDescent="0.2">
      <c r="A39" t="s">
        <v>66</v>
      </c>
      <c r="B39" t="s">
        <v>50</v>
      </c>
      <c r="C39" t="b">
        <v>1</v>
      </c>
      <c r="D39" s="10">
        <f t="shared" si="9"/>
        <v>0</v>
      </c>
      <c r="E39" s="9">
        <f>-E38/(1+$B$11)</f>
        <v>0</v>
      </c>
      <c r="F39" s="9">
        <f t="shared" ref="F39:AL39" si="15">-F38/(1+$B$11)</f>
        <v>0</v>
      </c>
      <c r="G39" s="9">
        <f t="shared" si="15"/>
        <v>0</v>
      </c>
      <c r="H39" s="9">
        <f t="shared" si="15"/>
        <v>0</v>
      </c>
      <c r="I39" s="9">
        <f t="shared" si="15"/>
        <v>0</v>
      </c>
      <c r="J39" s="9">
        <f t="shared" si="15"/>
        <v>0</v>
      </c>
      <c r="K39" s="9">
        <f t="shared" si="15"/>
        <v>0</v>
      </c>
      <c r="L39" s="9">
        <f t="shared" si="15"/>
        <v>0</v>
      </c>
      <c r="M39" s="9">
        <f t="shared" si="15"/>
        <v>0</v>
      </c>
      <c r="N39" s="9">
        <f t="shared" si="15"/>
        <v>0</v>
      </c>
      <c r="O39" s="9">
        <f t="shared" si="15"/>
        <v>0</v>
      </c>
      <c r="P39" s="9">
        <f t="shared" si="15"/>
        <v>0</v>
      </c>
      <c r="Q39" s="9">
        <f t="shared" si="15"/>
        <v>0</v>
      </c>
      <c r="R39" s="9">
        <f t="shared" si="15"/>
        <v>0</v>
      </c>
      <c r="S39" s="9">
        <f t="shared" si="15"/>
        <v>0</v>
      </c>
      <c r="T39" s="9">
        <f t="shared" si="15"/>
        <v>0</v>
      </c>
      <c r="U39" s="9">
        <f t="shared" si="15"/>
        <v>0</v>
      </c>
      <c r="V39" s="9">
        <f t="shared" si="15"/>
        <v>0</v>
      </c>
      <c r="W39" s="9">
        <f t="shared" si="15"/>
        <v>0</v>
      </c>
      <c r="X39" s="9">
        <f t="shared" si="15"/>
        <v>0</v>
      </c>
      <c r="Y39" s="9">
        <f t="shared" si="15"/>
        <v>0</v>
      </c>
      <c r="Z39" s="9">
        <f t="shared" si="15"/>
        <v>0</v>
      </c>
      <c r="AA39" s="9">
        <f t="shared" si="15"/>
        <v>0</v>
      </c>
      <c r="AB39" s="9">
        <f t="shared" si="15"/>
        <v>0</v>
      </c>
      <c r="AC39" s="9">
        <f t="shared" si="15"/>
        <v>0</v>
      </c>
      <c r="AD39" s="9">
        <f t="shared" si="15"/>
        <v>0</v>
      </c>
      <c r="AE39" s="9">
        <f t="shared" si="15"/>
        <v>0</v>
      </c>
      <c r="AF39" s="9">
        <f t="shared" si="15"/>
        <v>0</v>
      </c>
      <c r="AG39" s="9">
        <f t="shared" si="15"/>
        <v>0</v>
      </c>
      <c r="AH39" s="9">
        <f t="shared" si="15"/>
        <v>0</v>
      </c>
      <c r="AI39" s="9">
        <f t="shared" si="15"/>
        <v>0</v>
      </c>
      <c r="AJ39" s="9">
        <f t="shared" si="15"/>
        <v>0</v>
      </c>
      <c r="AK39" s="9">
        <f t="shared" si="15"/>
        <v>0</v>
      </c>
      <c r="AL39" s="9">
        <f t="shared" si="15"/>
        <v>0</v>
      </c>
    </row>
    <row r="40" spans="1:38" s="16" customFormat="1" x14ac:dyDescent="0.2">
      <c r="A40" s="15" t="s">
        <v>67</v>
      </c>
      <c r="B40" s="15" t="s">
        <v>50</v>
      </c>
      <c r="D40" s="19">
        <f t="shared" si="9"/>
        <v>0</v>
      </c>
      <c r="E40" s="18">
        <f t="shared" ref="E40:AL40" si="16">SUMIFS(E$34:E$39,$C$34:$C$39,TRUE)*$B$11</f>
        <v>0</v>
      </c>
      <c r="F40" s="18">
        <f t="shared" si="16"/>
        <v>0</v>
      </c>
      <c r="G40" s="18">
        <f t="shared" si="16"/>
        <v>0</v>
      </c>
      <c r="H40" s="18">
        <f t="shared" si="16"/>
        <v>0</v>
      </c>
      <c r="I40" s="18">
        <f t="shared" si="16"/>
        <v>0</v>
      </c>
      <c r="J40" s="18">
        <f t="shared" si="16"/>
        <v>0</v>
      </c>
      <c r="K40" s="18">
        <f t="shared" si="16"/>
        <v>0</v>
      </c>
      <c r="L40" s="18">
        <f t="shared" si="16"/>
        <v>0</v>
      </c>
      <c r="M40" s="18">
        <f t="shared" si="16"/>
        <v>0</v>
      </c>
      <c r="N40" s="18">
        <f t="shared" si="16"/>
        <v>0</v>
      </c>
      <c r="O40" s="18">
        <f t="shared" si="16"/>
        <v>0</v>
      </c>
      <c r="P40" s="18">
        <f t="shared" si="16"/>
        <v>0</v>
      </c>
      <c r="Q40" s="18">
        <f t="shared" si="16"/>
        <v>0</v>
      </c>
      <c r="R40" s="18">
        <f t="shared" si="16"/>
        <v>0</v>
      </c>
      <c r="S40" s="18">
        <f t="shared" si="16"/>
        <v>0</v>
      </c>
      <c r="T40" s="18">
        <f t="shared" si="16"/>
        <v>0</v>
      </c>
      <c r="U40" s="18">
        <f t="shared" si="16"/>
        <v>0</v>
      </c>
      <c r="V40" s="18">
        <f t="shared" si="16"/>
        <v>0</v>
      </c>
      <c r="W40" s="18">
        <f t="shared" si="16"/>
        <v>0</v>
      </c>
      <c r="X40" s="18">
        <f t="shared" si="16"/>
        <v>0</v>
      </c>
      <c r="Y40" s="18">
        <f t="shared" si="16"/>
        <v>0</v>
      </c>
      <c r="Z40" s="18">
        <f t="shared" si="16"/>
        <v>0</v>
      </c>
      <c r="AA40" s="18">
        <f t="shared" si="16"/>
        <v>0</v>
      </c>
      <c r="AB40" s="18">
        <f t="shared" si="16"/>
        <v>0</v>
      </c>
      <c r="AC40" s="18">
        <f t="shared" si="16"/>
        <v>0</v>
      </c>
      <c r="AD40" s="18">
        <f t="shared" si="16"/>
        <v>0</v>
      </c>
      <c r="AE40" s="18">
        <f t="shared" si="16"/>
        <v>0</v>
      </c>
      <c r="AF40" s="18">
        <f t="shared" si="16"/>
        <v>0</v>
      </c>
      <c r="AG40" s="18">
        <f t="shared" si="16"/>
        <v>0</v>
      </c>
      <c r="AH40" s="18">
        <f t="shared" si="16"/>
        <v>0</v>
      </c>
      <c r="AI40" s="18">
        <f t="shared" si="16"/>
        <v>0</v>
      </c>
      <c r="AJ40" s="18">
        <f t="shared" si="16"/>
        <v>0</v>
      </c>
      <c r="AK40" s="18">
        <f t="shared" si="16"/>
        <v>0</v>
      </c>
      <c r="AL40" s="18">
        <f t="shared" si="16"/>
        <v>0</v>
      </c>
    </row>
    <row r="41" spans="1:38" s="16" customFormat="1" x14ac:dyDescent="0.2">
      <c r="A41" s="21"/>
      <c r="B41" s="15"/>
      <c r="D41" s="19"/>
      <c r="E41"/>
      <c r="F41" s="22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</row>
    <row r="42" spans="1:38" x14ac:dyDescent="0.2">
      <c r="A42" s="8" t="s">
        <v>68</v>
      </c>
    </row>
    <row r="43" spans="1:38" s="16" customFormat="1" x14ac:dyDescent="0.2">
      <c r="A43" s="15" t="s">
        <v>69</v>
      </c>
      <c r="B43" s="16" t="b">
        <v>0</v>
      </c>
      <c r="C43" s="16" t="b">
        <v>0</v>
      </c>
      <c r="E43" s="18">
        <f>E34*0.5*$K$7*IF(E18=0,0,1)</f>
        <v>0</v>
      </c>
      <c r="F43" s="18">
        <f>(SUM($E$34:E34)+F34*0.5)*$K$7*IF(F18=0,0,1)</f>
        <v>0</v>
      </c>
      <c r="G43" s="18">
        <f>(SUM($E$34:F34)+G34*0.5)*$K$7*IF(G18=0,0,1)</f>
        <v>0</v>
      </c>
      <c r="H43" s="18">
        <f>(SUM($E$34:G34)+H34*0.5)*$K$7*IF(H18=0,0,1)</f>
        <v>0</v>
      </c>
      <c r="I43" s="18">
        <f>(SUM($E$34:H34)+I34*0.5)*$K$7*IF(I18=0,0,1)</f>
        <v>0</v>
      </c>
      <c r="J43" s="18">
        <f>(SUM($E$34:I34)+J34*0.5)*$K$7*IF(J18=0,0,1)</f>
        <v>0</v>
      </c>
      <c r="K43" s="18">
        <f>(SUM($E$34:J34)+K34*0.5)*$K$7*IF(K18=0,0,1)</f>
        <v>0</v>
      </c>
      <c r="L43" s="18">
        <f>(SUM($E$34:K34)+L34*0.5)*$K$7*IF(L18=0,0,1)</f>
        <v>0</v>
      </c>
      <c r="M43" s="18">
        <f>(SUM($E$34:L34)+M34*0.5)*$K$7*IF(M18=0,0,1)</f>
        <v>0</v>
      </c>
      <c r="N43" s="18">
        <f>(SUM($E$34:M34)+N34*0.5)*$K$7*IF(N18=0,0,1)</f>
        <v>0</v>
      </c>
      <c r="O43" s="18">
        <f>(SUM($E$34:N34)+O34*0.5)*$K$7*IF(O18=0,0,1)</f>
        <v>0</v>
      </c>
      <c r="P43" s="18">
        <f>(SUM($E$34:O34)+P34*0.5)*$K$7*IF(P18=0,0,1)</f>
        <v>0</v>
      </c>
      <c r="Q43" s="18">
        <f>(SUM($E$34:P34)+Q34*0.5)*$K$7*IF(Q18=0,0,1)</f>
        <v>0</v>
      </c>
      <c r="R43" s="18">
        <f>(SUM($E$34:Q34)+R34*0.5)*$K$7*IF(R18=0,0,1)</f>
        <v>0</v>
      </c>
      <c r="S43" s="18">
        <f>(SUM($E$34:R34)+S34*0.5)*$K$7*IF(S18=0,0,1)</f>
        <v>0</v>
      </c>
      <c r="T43" s="18">
        <f>(SUM($E$34:S34)+T34*0.5)*$K$7*IF(T18=0,0,1)</f>
        <v>0</v>
      </c>
      <c r="U43" s="18">
        <f>(SUM($E$34:T34)+U34*0.5)*$K$7*IF(U18=0,0,1)</f>
        <v>0</v>
      </c>
      <c r="V43" s="18">
        <f>(SUM($E$34:U34)+V34*0.5)*$K$7*IF(V18=0,0,1)</f>
        <v>0</v>
      </c>
      <c r="W43" s="18">
        <f>(SUM($E$34:V34)+W34*0.5)*$K$7*IF(W18=0,0,1)</f>
        <v>0</v>
      </c>
      <c r="X43" s="18">
        <f>(SUM($E$34:W34)+X34*0.5)*$K$7*IF(X18=0,0,1)</f>
        <v>0</v>
      </c>
      <c r="Y43" s="18">
        <f>(SUM($E$34:X34)+Y34*0.5)*$K$7*IF(Y18=0,0,1)</f>
        <v>0</v>
      </c>
      <c r="Z43" s="18">
        <f>(SUM($E$34:Y34)+Z34*0.5)*$K$7*IF(Z18=0,0,1)</f>
        <v>0</v>
      </c>
      <c r="AA43" s="18">
        <f>(SUM($E$34:Z34)+AA34*0.5)*$K$7*IF(AA18=0,0,1)</f>
        <v>0</v>
      </c>
      <c r="AB43" s="18">
        <f>(SUM($E$34:AA34)+AB34*0.5)*$K$7*IF(AB18=0,0,1)</f>
        <v>0</v>
      </c>
      <c r="AC43" s="18">
        <f>(SUM($E$34:AB34)+AC34*0.5)*$K$7*IF(AC18=0,0,1)</f>
        <v>0</v>
      </c>
      <c r="AD43" s="18">
        <f>(SUM($E$34:AC34)+AD34*0.5)*$K$7*IF(AD18=0,0,1)</f>
        <v>0</v>
      </c>
      <c r="AE43" s="18">
        <f>(SUM($E$34:AD34)+AE34*0.5)*$K$7*IF(AE18=0,0,1)</f>
        <v>0</v>
      </c>
      <c r="AF43" s="18">
        <f>(SUM($E$34:AE34)+AF34*0.5)*$K$7*IF(AF18=0,0,1)</f>
        <v>0</v>
      </c>
      <c r="AG43" s="18">
        <f>(SUM($E$34:AF34)+AG34*0.5)*$K$7*IF(AG18=0,0,1)</f>
        <v>0</v>
      </c>
      <c r="AH43" s="18">
        <f>(SUM($E$34:AG34)+AH34*0.5)*$K$7*IF(AH18=0,0,1)</f>
        <v>0</v>
      </c>
      <c r="AI43" s="18">
        <f>(SUM($E$34:AH34)+AI34*0.5)*$K$7*IF(AI18=0,0,1)</f>
        <v>0</v>
      </c>
      <c r="AJ43" s="18">
        <f>(SUM($E$34:AI34)+AJ34*0.5)*$K$7*IF(AJ18=0,0,1)</f>
        <v>0</v>
      </c>
      <c r="AK43" s="18">
        <f>(SUM($E$34:AJ34)+AK34*0.5)*$K$7*IF(AK18=0,0,1)</f>
        <v>0</v>
      </c>
      <c r="AL43" s="18">
        <f>(SUM($E$34:AK34)+AL34*0.5)*$K$7*IF(AL18=0,0,1)</f>
        <v>0</v>
      </c>
    </row>
    <row r="44" spans="1:38" x14ac:dyDescent="0.2">
      <c r="A44" t="s">
        <v>70</v>
      </c>
      <c r="B44" t="s">
        <v>50</v>
      </c>
      <c r="C44" t="b">
        <v>0</v>
      </c>
      <c r="D44" s="10">
        <f>E44+NPV($K$5,F44:AK44)</f>
        <v>0</v>
      </c>
      <c r="E44" s="9">
        <f t="shared" ref="E44:AL44" si="17">-IF(E19=ROUNDUP($B$14,0),SUM($E$34:$AL$34,$E$43:$AL$43),0)</f>
        <v>0</v>
      </c>
      <c r="F44" s="9">
        <f t="shared" si="17"/>
        <v>0</v>
      </c>
      <c r="G44" s="9">
        <f t="shared" si="17"/>
        <v>0</v>
      </c>
      <c r="H44" s="9">
        <f t="shared" si="17"/>
        <v>0</v>
      </c>
      <c r="I44" s="9">
        <f t="shared" si="17"/>
        <v>0</v>
      </c>
      <c r="J44" s="9">
        <f t="shared" si="17"/>
        <v>0</v>
      </c>
      <c r="K44" s="9">
        <f t="shared" si="17"/>
        <v>0</v>
      </c>
      <c r="L44" s="9">
        <f t="shared" si="17"/>
        <v>0</v>
      </c>
      <c r="M44" s="9">
        <f t="shared" si="17"/>
        <v>0</v>
      </c>
      <c r="N44" s="9">
        <f t="shared" si="17"/>
        <v>0</v>
      </c>
      <c r="O44" s="9">
        <f t="shared" si="17"/>
        <v>0</v>
      </c>
      <c r="P44" s="9">
        <f t="shared" si="17"/>
        <v>0</v>
      </c>
      <c r="Q44" s="9">
        <f t="shared" si="17"/>
        <v>0</v>
      </c>
      <c r="R44" s="9">
        <f t="shared" si="17"/>
        <v>0</v>
      </c>
      <c r="S44" s="9">
        <f t="shared" si="17"/>
        <v>0</v>
      </c>
      <c r="T44" s="9">
        <f t="shared" si="17"/>
        <v>0</v>
      </c>
      <c r="U44" s="9">
        <f t="shared" si="17"/>
        <v>0</v>
      </c>
      <c r="V44" s="9">
        <f t="shared" si="17"/>
        <v>0</v>
      </c>
      <c r="W44" s="9">
        <f t="shared" si="17"/>
        <v>0</v>
      </c>
      <c r="X44" s="9">
        <f t="shared" si="17"/>
        <v>0</v>
      </c>
      <c r="Y44" s="9">
        <f t="shared" si="17"/>
        <v>0</v>
      </c>
      <c r="Z44" s="9">
        <f t="shared" si="17"/>
        <v>0</v>
      </c>
      <c r="AA44" s="9">
        <f t="shared" si="17"/>
        <v>0</v>
      </c>
      <c r="AB44" s="9">
        <f t="shared" si="17"/>
        <v>0</v>
      </c>
      <c r="AC44" s="9">
        <f t="shared" si="17"/>
        <v>0</v>
      </c>
      <c r="AD44" s="9">
        <f t="shared" si="17"/>
        <v>0</v>
      </c>
      <c r="AE44" s="9">
        <f t="shared" si="17"/>
        <v>0</v>
      </c>
      <c r="AF44" s="9">
        <f t="shared" si="17"/>
        <v>0</v>
      </c>
      <c r="AG44" s="9">
        <f t="shared" si="17"/>
        <v>0</v>
      </c>
      <c r="AH44" s="9">
        <f t="shared" si="17"/>
        <v>0</v>
      </c>
      <c r="AI44" s="9">
        <f t="shared" si="17"/>
        <v>0</v>
      </c>
      <c r="AJ44" s="9">
        <f t="shared" si="17"/>
        <v>0</v>
      </c>
      <c r="AK44" s="9">
        <f t="shared" si="17"/>
        <v>0</v>
      </c>
      <c r="AL44" s="9">
        <f t="shared" si="17"/>
        <v>0</v>
      </c>
    </row>
    <row r="45" spans="1:38" x14ac:dyDescent="0.2">
      <c r="A45" t="s">
        <v>71</v>
      </c>
      <c r="B45" t="s">
        <v>52</v>
      </c>
      <c r="C45" t="b">
        <v>0</v>
      </c>
      <c r="D45" s="10">
        <f>E45+NPV($K$5,F45:AK45)</f>
        <v>-937273.51464490441</v>
      </c>
      <c r="E45" s="9">
        <f>IF(E$19&gt;ROUNDUP($B$14,0),IF(E46&lt;&gt;-0.01,PPMT($K$5,E$19-ROUNDUP($B$14,0),$K$6,$N$10),0.01),0)</f>
        <v>0</v>
      </c>
      <c r="F45" s="9">
        <f t="shared" ref="F45:AL45" si="18">IF(F$19&gt;ROUNDUP($B$14,0),IF(F46&lt;&gt;-0.01,PPMT($K$5,F$19-ROUNDUP($B$14,0),$K$6,$N$10),0.01),0)</f>
        <v>0</v>
      </c>
      <c r="G45" s="9">
        <f t="shared" si="18"/>
        <v>-40550.202155625222</v>
      </c>
      <c r="H45" s="9">
        <f t="shared" si="18"/>
        <v>-42172.210241850225</v>
      </c>
      <c r="I45" s="9">
        <f t="shared" si="18"/>
        <v>-43859.09865152424</v>
      </c>
      <c r="J45" s="9">
        <f t="shared" si="18"/>
        <v>-45613.46259758521</v>
      </c>
      <c r="K45" s="9">
        <f t="shared" si="18"/>
        <v>-47438.001101488611</v>
      </c>
      <c r="L45" s="9">
        <f t="shared" si="18"/>
        <v>-49335.521145548169</v>
      </c>
      <c r="M45" s="9">
        <f t="shared" si="18"/>
        <v>-51308.941991370091</v>
      </c>
      <c r="N45" s="9">
        <f t="shared" si="18"/>
        <v>-53361.299671024884</v>
      </c>
      <c r="O45" s="9">
        <f t="shared" si="18"/>
        <v>-55495.751657865876</v>
      </c>
      <c r="P45" s="9">
        <f t="shared" si="18"/>
        <v>-57715.581724180527</v>
      </c>
      <c r="Q45" s="9">
        <f t="shared" si="18"/>
        <v>-60024.204993147752</v>
      </c>
      <c r="R45" s="9">
        <f t="shared" si="18"/>
        <v>-62425.173192873655</v>
      </c>
      <c r="S45" s="9">
        <f t="shared" si="18"/>
        <v>-64922.1801205886</v>
      </c>
      <c r="T45" s="9">
        <f t="shared" si="18"/>
        <v>-67519.06732541215</v>
      </c>
      <c r="U45" s="9">
        <f t="shared" si="18"/>
        <v>-70219.830018428635</v>
      </c>
      <c r="V45" s="9">
        <f t="shared" si="18"/>
        <v>-73028.623219165776</v>
      </c>
      <c r="W45" s="9">
        <f t="shared" si="18"/>
        <v>-75949.768147932409</v>
      </c>
      <c r="X45" s="9">
        <f t="shared" si="18"/>
        <v>-78987.7588738497</v>
      </c>
      <c r="Y45" s="9">
        <f t="shared" si="18"/>
        <v>-82147.269228803692</v>
      </c>
      <c r="Z45" s="9">
        <f t="shared" si="18"/>
        <v>-85433.159997955838</v>
      </c>
      <c r="AA45" s="9">
        <f t="shared" si="18"/>
        <v>-88850.486397874061</v>
      </c>
      <c r="AB45" s="9">
        <f t="shared" si="18"/>
        <v>-92404.505853789029</v>
      </c>
      <c r="AC45" s="9">
        <f t="shared" si="18"/>
        <v>-96100.686087940601</v>
      </c>
      <c r="AD45" s="9">
        <f t="shared" si="18"/>
        <v>-99944.713531458212</v>
      </c>
      <c r="AE45" s="9">
        <f t="shared" si="18"/>
        <v>-103942.50207271654</v>
      </c>
      <c r="AF45" s="9">
        <f t="shared" si="18"/>
        <v>0.01</v>
      </c>
      <c r="AG45" s="9">
        <f t="shared" si="18"/>
        <v>0.01</v>
      </c>
      <c r="AH45" s="9">
        <f t="shared" si="18"/>
        <v>0.01</v>
      </c>
      <c r="AI45" s="9">
        <f t="shared" si="18"/>
        <v>0.01</v>
      </c>
      <c r="AJ45" s="9">
        <f t="shared" si="18"/>
        <v>0.01</v>
      </c>
      <c r="AK45" s="9">
        <f t="shared" si="18"/>
        <v>0.01</v>
      </c>
      <c r="AL45" s="9">
        <f t="shared" si="18"/>
        <v>0.01</v>
      </c>
    </row>
    <row r="46" spans="1:38" x14ac:dyDescent="0.2">
      <c r="A46" t="s">
        <v>72</v>
      </c>
      <c r="B46" t="s">
        <v>52</v>
      </c>
      <c r="C46" t="b">
        <v>0</v>
      </c>
      <c r="D46" s="10">
        <f>E46+NPV($K$5,F46:AK46)</f>
        <v>-686524.56227817188</v>
      </c>
      <c r="E46" s="9">
        <f>IF(E$19&gt;ROUNDUP($B$14,0),IFERROR(IPMT($K$5,E$19-ROUNDUP($B$14,0),$K$6,$N$10),-0.01),0)</f>
        <v>0</v>
      </c>
      <c r="F46" s="9">
        <f t="shared" ref="F46:AL46" si="19">IF(F$19&gt;ROUNDUP($B$14,0),IFERROR(IPMT($K$5,F$19-ROUNDUP($B$14,0),$K$6,$N$10),-0.01),0)</f>
        <v>0</v>
      </c>
      <c r="G46" s="9">
        <f t="shared" si="19"/>
        <v>-67550</v>
      </c>
      <c r="H46" s="9">
        <f t="shared" si="19"/>
        <v>-65927.991913774968</v>
      </c>
      <c r="I46" s="9">
        <f t="shared" si="19"/>
        <v>-64241.103504100967</v>
      </c>
      <c r="J46" s="9">
        <f t="shared" si="19"/>
        <v>-62486.739558039997</v>
      </c>
      <c r="K46" s="9">
        <f t="shared" si="19"/>
        <v>-60662.201054136596</v>
      </c>
      <c r="L46" s="9">
        <f t="shared" si="19"/>
        <v>-58764.681010077038</v>
      </c>
      <c r="M46" s="9">
        <f t="shared" si="19"/>
        <v>-56791.260164255116</v>
      </c>
      <c r="N46" s="9">
        <f t="shared" si="19"/>
        <v>-54738.902484600323</v>
      </c>
      <c r="O46" s="9">
        <f t="shared" si="19"/>
        <v>-52604.450497759324</v>
      </c>
      <c r="P46" s="9">
        <f t="shared" si="19"/>
        <v>-50384.62043144468</v>
      </c>
      <c r="Q46" s="9">
        <f t="shared" si="19"/>
        <v>-48075.99716247747</v>
      </c>
      <c r="R46" s="9">
        <f t="shared" si="19"/>
        <v>-45675.028962751552</v>
      </c>
      <c r="S46" s="9">
        <f t="shared" si="19"/>
        <v>-43178.022035036607</v>
      </c>
      <c r="T46" s="9">
        <f t="shared" si="19"/>
        <v>-40581.134830213065</v>
      </c>
      <c r="U46" s="9">
        <f t="shared" si="19"/>
        <v>-37880.37213719658</v>
      </c>
      <c r="V46" s="9">
        <f t="shared" si="19"/>
        <v>-35071.578936459431</v>
      </c>
      <c r="W46" s="9">
        <f t="shared" si="19"/>
        <v>-32150.434007692798</v>
      </c>
      <c r="X46" s="9">
        <f t="shared" si="19"/>
        <v>-29112.443281775504</v>
      </c>
      <c r="Y46" s="9">
        <f t="shared" si="19"/>
        <v>-25952.932926821519</v>
      </c>
      <c r="Z46" s="9">
        <f t="shared" si="19"/>
        <v>-22667.04215766937</v>
      </c>
      <c r="AA46" s="9">
        <f t="shared" si="19"/>
        <v>-19249.715757751135</v>
      </c>
      <c r="AB46" s="9">
        <f t="shared" si="19"/>
        <v>-15695.696301836177</v>
      </c>
      <c r="AC46" s="9">
        <f t="shared" si="19"/>
        <v>-11999.516067684614</v>
      </c>
      <c r="AD46" s="9">
        <f t="shared" si="19"/>
        <v>-8155.4886241669892</v>
      </c>
      <c r="AE46" s="9">
        <f t="shared" si="19"/>
        <v>-4157.7000829086619</v>
      </c>
      <c r="AF46" s="9">
        <f t="shared" si="19"/>
        <v>-0.01</v>
      </c>
      <c r="AG46" s="9">
        <f t="shared" si="19"/>
        <v>-0.01</v>
      </c>
      <c r="AH46" s="9">
        <f t="shared" si="19"/>
        <v>-0.01</v>
      </c>
      <c r="AI46" s="9">
        <f t="shared" si="19"/>
        <v>-0.01</v>
      </c>
      <c r="AJ46" s="9">
        <f t="shared" si="19"/>
        <v>-0.01</v>
      </c>
      <c r="AK46" s="9">
        <f t="shared" si="19"/>
        <v>-0.01</v>
      </c>
      <c r="AL46" s="9">
        <f t="shared" si="19"/>
        <v>-0.01</v>
      </c>
    </row>
    <row r="47" spans="1:38" x14ac:dyDescent="0.2">
      <c r="A47" t="s">
        <v>73</v>
      </c>
      <c r="B47" t="s">
        <v>52</v>
      </c>
      <c r="C47" t="b">
        <v>0</v>
      </c>
      <c r="D47" s="10">
        <f>E47+NPV($K$5,F47:AK47)</f>
        <v>-847264.42776120594</v>
      </c>
      <c r="E47" s="9">
        <f>IF(E$19&gt;ROUNDUP($B$14,0),IF(E48&lt;&gt;-0.01,PPMT($H$5,E$19-ROUNDUP($B$14,0),$H$6,IF($B$9="BOB",$H$12,$H$11)*(1-$H$7)),0.01),0)</f>
        <v>0</v>
      </c>
      <c r="F47" s="9">
        <f t="shared" ref="F47:AL47" si="20">IF(F$19&gt;ROUNDUP($B$14,0),IF(F48&lt;&gt;-0.01,PPMT($H$5,F$19-ROUNDUP($B$14,0),$H$6,IF($B$9="BOB",$H$12,$H$11)*(1-$H$7)),0.01),0)</f>
        <v>0</v>
      </c>
      <c r="G47" s="9">
        <f t="shared" si="20"/>
        <v>-44322.166917480819</v>
      </c>
      <c r="H47" s="9">
        <f t="shared" si="20"/>
        <v>-44765.388586655623</v>
      </c>
      <c r="I47" s="9">
        <f t="shared" si="20"/>
        <v>-45213.042472522182</v>
      </c>
      <c r="J47" s="9">
        <f t="shared" si="20"/>
        <v>-45665.172897247401</v>
      </c>
      <c r="K47" s="9">
        <f t="shared" si="20"/>
        <v>-46121.824626219881</v>
      </c>
      <c r="L47" s="9">
        <f t="shared" si="20"/>
        <v>-46583.042872482074</v>
      </c>
      <c r="M47" s="9">
        <f t="shared" si="20"/>
        <v>-47048.873301206891</v>
      </c>
      <c r="N47" s="9">
        <f t="shared" si="20"/>
        <v>-47519.362034218961</v>
      </c>
      <c r="O47" s="9">
        <f t="shared" si="20"/>
        <v>-47994.555654561147</v>
      </c>
      <c r="P47" s="9">
        <f t="shared" si="20"/>
        <v>-48474.50121110677</v>
      </c>
      <c r="Q47" s="9">
        <f t="shared" si="20"/>
        <v>-48959.246223217837</v>
      </c>
      <c r="R47" s="9">
        <f t="shared" si="20"/>
        <v>-49448.838685450013</v>
      </c>
      <c r="S47" s="9">
        <f t="shared" si="20"/>
        <v>-49943.327072304506</v>
      </c>
      <c r="T47" s="9">
        <f t="shared" si="20"/>
        <v>-50442.760343027563</v>
      </c>
      <c r="U47" s="9">
        <f t="shared" si="20"/>
        <v>-50947.187946457823</v>
      </c>
      <c r="V47" s="9">
        <f t="shared" si="20"/>
        <v>-51456.659825922412</v>
      </c>
      <c r="W47" s="9">
        <f t="shared" si="20"/>
        <v>-51971.22642418163</v>
      </c>
      <c r="X47" s="9">
        <f t="shared" si="20"/>
        <v>-52490.938688423448</v>
      </c>
      <c r="Y47" s="9">
        <f t="shared" si="20"/>
        <v>-53015.84807530768</v>
      </c>
      <c r="Z47" s="9">
        <f t="shared" si="20"/>
        <v>-53546.006556060762</v>
      </c>
      <c r="AA47" s="9">
        <f t="shared" si="20"/>
        <v>-54081.466621621366</v>
      </c>
      <c r="AB47" s="9">
        <f t="shared" si="20"/>
        <v>-54622.281287837577</v>
      </c>
      <c r="AC47" s="9">
        <f t="shared" si="20"/>
        <v>-55168.50410071596</v>
      </c>
      <c r="AD47" s="9">
        <f t="shared" si="20"/>
        <v>-55720.189141723116</v>
      </c>
      <c r="AE47" s="9">
        <f t="shared" si="20"/>
        <v>-56277.39103314036</v>
      </c>
      <c r="AF47" s="9">
        <f t="shared" si="20"/>
        <v>-56840.164943471755</v>
      </c>
      <c r="AG47" s="9">
        <f t="shared" si="20"/>
        <v>-57408.566592906471</v>
      </c>
      <c r="AH47" s="9">
        <f t="shared" si="20"/>
        <v>-57982.652258835536</v>
      </c>
      <c r="AI47" s="9">
        <f t="shared" si="20"/>
        <v>-58562.478781423895</v>
      </c>
      <c r="AJ47" s="9">
        <f t="shared" si="20"/>
        <v>-59148.103569238141</v>
      </c>
      <c r="AK47" s="9">
        <f t="shared" si="20"/>
        <v>-59739.584604930518</v>
      </c>
      <c r="AL47" s="9">
        <f t="shared" si="20"/>
        <v>-60336.98045097982</v>
      </c>
    </row>
    <row r="48" spans="1:38" x14ac:dyDescent="0.2">
      <c r="A48" t="s">
        <v>74</v>
      </c>
      <c r="B48" t="s">
        <v>52</v>
      </c>
      <c r="C48" t="b">
        <v>0</v>
      </c>
      <c r="D48" s="10">
        <f>E48+NPV($K$5,F48:AK48)</f>
        <v>-268753.67944507714</v>
      </c>
      <c r="E48" s="9">
        <f>IF(E$19&gt;ROUNDUP($B$14,0),IFERROR(IPMT($H$5,E$19-ROUNDUP($B$14,0),$H$6,IF($B$9="BOB",$H$12,$H$11)*(1-$H$7)),-0.01),0)</f>
        <v>0</v>
      </c>
      <c r="F48" s="9">
        <f t="shared" ref="F48:AL48" si="21">IF(F$19&gt;ROUNDUP($B$14,0),IFERROR(IPMT($H$5,F$19-ROUNDUP($B$14,0),$H$6,IF($B$9="BOB",$H$12,$H$11)*(1-$H$7)),-0.01),0)</f>
        <v>0</v>
      </c>
      <c r="G48" s="9">
        <f t="shared" si="21"/>
        <v>-21667.5</v>
      </c>
      <c r="H48" s="9">
        <f t="shared" si="21"/>
        <v>-21224.278330825196</v>
      </c>
      <c r="I48" s="9">
        <f t="shared" si="21"/>
        <v>-20776.624444958637</v>
      </c>
      <c r="J48" s="9">
        <f t="shared" si="21"/>
        <v>-20324.494020233418</v>
      </c>
      <c r="K48" s="9">
        <f t="shared" si="21"/>
        <v>-19867.842291260942</v>
      </c>
      <c r="L48" s="9">
        <f t="shared" si="21"/>
        <v>-19406.624044998742</v>
      </c>
      <c r="M48" s="9">
        <f t="shared" si="21"/>
        <v>-18940.793616273924</v>
      </c>
      <c r="N48" s="9">
        <f t="shared" si="21"/>
        <v>-18470.304883261855</v>
      </c>
      <c r="O48" s="9">
        <f t="shared" si="21"/>
        <v>-17995.111262919665</v>
      </c>
      <c r="P48" s="9">
        <f t="shared" si="21"/>
        <v>-17515.165706374053</v>
      </c>
      <c r="Q48" s="9">
        <f t="shared" si="21"/>
        <v>-17030.420694262983</v>
      </c>
      <c r="R48" s="9">
        <f t="shared" si="21"/>
        <v>-16540.82823203081</v>
      </c>
      <c r="S48" s="9">
        <f t="shared" si="21"/>
        <v>-16046.339845176308</v>
      </c>
      <c r="T48" s="9">
        <f t="shared" si="21"/>
        <v>-15546.90657445326</v>
      </c>
      <c r="U48" s="9">
        <f t="shared" si="21"/>
        <v>-15042.478971022987</v>
      </c>
      <c r="V48" s="9">
        <f t="shared" si="21"/>
        <v>-14533.007091558407</v>
      </c>
      <c r="W48" s="9">
        <f t="shared" si="21"/>
        <v>-14018.440493299182</v>
      </c>
      <c r="X48" s="9">
        <f t="shared" si="21"/>
        <v>-13498.728229057366</v>
      </c>
      <c r="Y48" s="9">
        <f t="shared" si="21"/>
        <v>-12973.818842173136</v>
      </c>
      <c r="Z48" s="9">
        <f t="shared" si="21"/>
        <v>-12443.660361420056</v>
      </c>
      <c r="AA48" s="9">
        <f t="shared" si="21"/>
        <v>-11908.200295859448</v>
      </c>
      <c r="AB48" s="9">
        <f t="shared" si="21"/>
        <v>-11367.385629643235</v>
      </c>
      <c r="AC48" s="9">
        <f t="shared" si="21"/>
        <v>-10821.162816764858</v>
      </c>
      <c r="AD48" s="9">
        <f t="shared" si="21"/>
        <v>-10269.477775757698</v>
      </c>
      <c r="AE48" s="9">
        <f t="shared" si="21"/>
        <v>-9712.2758843404663</v>
      </c>
      <c r="AF48" s="9">
        <f t="shared" si="21"/>
        <v>-9149.5019740090611</v>
      </c>
      <c r="AG48" s="9">
        <f t="shared" si="21"/>
        <v>-8581.100324574345</v>
      </c>
      <c r="AH48" s="9">
        <f t="shared" si="21"/>
        <v>-8007.0146586452802</v>
      </c>
      <c r="AI48" s="9">
        <f t="shared" si="21"/>
        <v>-7427.188136056925</v>
      </c>
      <c r="AJ48" s="9">
        <f t="shared" si="21"/>
        <v>-6841.5633482426856</v>
      </c>
      <c r="AK48" s="9">
        <f t="shared" si="21"/>
        <v>-6250.0823125503039</v>
      </c>
      <c r="AL48" s="9">
        <f t="shared" si="21"/>
        <v>-5652.6864665009989</v>
      </c>
    </row>
    <row r="50" spans="1:38" x14ac:dyDescent="0.2">
      <c r="A50" s="8" t="s">
        <v>75</v>
      </c>
    </row>
    <row r="51" spans="1:38" s="16" customFormat="1" x14ac:dyDescent="0.2">
      <c r="A51" s="16" t="s">
        <v>76</v>
      </c>
      <c r="C51" s="16" t="b">
        <v>0</v>
      </c>
      <c r="D51" s="19">
        <f t="shared" ref="D51:D52" si="22">E51+NPV($K$5,F51:AK51)</f>
        <v>0</v>
      </c>
      <c r="E51" s="18">
        <v>0</v>
      </c>
      <c r="F51" s="18">
        <f>-E24-E40</f>
        <v>0</v>
      </c>
      <c r="G51" s="18">
        <f>-F24-F40</f>
        <v>0</v>
      </c>
      <c r="H51" s="18">
        <f t="shared" ref="H51:AL51" si="23">-G24-G40</f>
        <v>0</v>
      </c>
      <c r="I51" s="18">
        <f t="shared" si="23"/>
        <v>0</v>
      </c>
      <c r="J51" s="18">
        <f t="shared" si="23"/>
        <v>0</v>
      </c>
      <c r="K51" s="18">
        <f t="shared" si="23"/>
        <v>0</v>
      </c>
      <c r="L51" s="18">
        <f t="shared" si="23"/>
        <v>0</v>
      </c>
      <c r="M51" s="18">
        <f t="shared" si="23"/>
        <v>0</v>
      </c>
      <c r="N51" s="18">
        <f t="shared" si="23"/>
        <v>0</v>
      </c>
      <c r="O51" s="18">
        <f t="shared" si="23"/>
        <v>0</v>
      </c>
      <c r="P51" s="18">
        <f t="shared" si="23"/>
        <v>0</v>
      </c>
      <c r="Q51" s="18">
        <f t="shared" si="23"/>
        <v>0</v>
      </c>
      <c r="R51" s="18">
        <f t="shared" si="23"/>
        <v>0</v>
      </c>
      <c r="S51" s="18">
        <f t="shared" si="23"/>
        <v>0</v>
      </c>
      <c r="T51" s="18">
        <f t="shared" si="23"/>
        <v>0</v>
      </c>
      <c r="U51" s="18">
        <f t="shared" si="23"/>
        <v>0</v>
      </c>
      <c r="V51" s="18">
        <f t="shared" si="23"/>
        <v>0</v>
      </c>
      <c r="W51" s="18">
        <f t="shared" si="23"/>
        <v>0</v>
      </c>
      <c r="X51" s="18">
        <f t="shared" si="23"/>
        <v>0</v>
      </c>
      <c r="Y51" s="18">
        <f t="shared" si="23"/>
        <v>0</v>
      </c>
      <c r="Z51" s="18">
        <f t="shared" si="23"/>
        <v>0</v>
      </c>
      <c r="AA51" s="18">
        <f t="shared" si="23"/>
        <v>0</v>
      </c>
      <c r="AB51" s="18">
        <f t="shared" si="23"/>
        <v>0</v>
      </c>
      <c r="AC51" s="18">
        <f t="shared" si="23"/>
        <v>0</v>
      </c>
      <c r="AD51" s="18">
        <f t="shared" si="23"/>
        <v>0</v>
      </c>
      <c r="AE51" s="18">
        <f t="shared" si="23"/>
        <v>0</v>
      </c>
      <c r="AF51" s="18">
        <f t="shared" si="23"/>
        <v>0</v>
      </c>
      <c r="AG51" s="18">
        <f t="shared" si="23"/>
        <v>0</v>
      </c>
      <c r="AH51" s="18">
        <f t="shared" si="23"/>
        <v>0</v>
      </c>
      <c r="AI51" s="18">
        <f t="shared" si="23"/>
        <v>0</v>
      </c>
      <c r="AJ51" s="18">
        <f t="shared" si="23"/>
        <v>0</v>
      </c>
      <c r="AK51" s="18">
        <f t="shared" si="23"/>
        <v>0</v>
      </c>
      <c r="AL51" s="18">
        <f t="shared" si="23"/>
        <v>0</v>
      </c>
    </row>
    <row r="52" spans="1:38" x14ac:dyDescent="0.2">
      <c r="A52" t="s">
        <v>77</v>
      </c>
      <c r="B52" t="s">
        <v>52</v>
      </c>
      <c r="C52" t="b">
        <v>0</v>
      </c>
      <c r="D52" s="12">
        <f t="shared" si="22"/>
        <v>4414768.841497534</v>
      </c>
      <c r="E52" s="11">
        <f t="shared" ref="E52:AL52" si="24">SUMIFS(E$21:E$40,$B$21:$B$40,$B52)+E51</f>
        <v>-3533333.333333333</v>
      </c>
      <c r="F52" s="11">
        <f t="shared" si="24"/>
        <v>3641847.4641435645</v>
      </c>
      <c r="G52" s="11">
        <f t="shared" si="24"/>
        <v>221368.82685287198</v>
      </c>
      <c r="H52" s="11">
        <f t="shared" si="24"/>
        <v>225796.20338992937</v>
      </c>
      <c r="I52" s="11">
        <f t="shared" si="24"/>
        <v>230312.12745772797</v>
      </c>
      <c r="J52" s="11">
        <f t="shared" si="24"/>
        <v>234918.37000688253</v>
      </c>
      <c r="K52" s="11">
        <f t="shared" si="24"/>
        <v>239616.73740702018</v>
      </c>
      <c r="L52" s="11">
        <f t="shared" si="24"/>
        <v>244409.07215516065</v>
      </c>
      <c r="M52" s="11">
        <f t="shared" si="24"/>
        <v>249297.25359826381</v>
      </c>
      <c r="N52" s="11">
        <f t="shared" si="24"/>
        <v>254283.19867022912</v>
      </c>
      <c r="O52" s="11">
        <f t="shared" si="24"/>
        <v>259368.86264363368</v>
      </c>
      <c r="P52" s="11">
        <f t="shared" si="24"/>
        <v>-443.76010349361241</v>
      </c>
      <c r="Q52" s="11">
        <f t="shared" si="24"/>
        <v>269847.36469443655</v>
      </c>
      <c r="R52" s="11">
        <f t="shared" si="24"/>
        <v>275244.31198832521</v>
      </c>
      <c r="S52" s="11">
        <f t="shared" si="24"/>
        <v>280749.19822809176</v>
      </c>
      <c r="T52" s="11">
        <f t="shared" si="24"/>
        <v>286364.18219265359</v>
      </c>
      <c r="U52" s="11">
        <f t="shared" si="24"/>
        <v>292091.46583650669</v>
      </c>
      <c r="V52" s="11">
        <f t="shared" si="24"/>
        <v>297933.29515323683</v>
      </c>
      <c r="W52" s="11">
        <f t="shared" si="24"/>
        <v>303891.96105630154</v>
      </c>
      <c r="X52" s="11">
        <f t="shared" si="24"/>
        <v>309969.8002774276</v>
      </c>
      <c r="Y52" s="11">
        <f t="shared" si="24"/>
        <v>316169.19628297613</v>
      </c>
      <c r="Z52" s="11">
        <f t="shared" si="24"/>
        <v>57492.580208635627</v>
      </c>
      <c r="AA52" s="11">
        <f t="shared" si="24"/>
        <v>328942.43181280844</v>
      </c>
      <c r="AB52" s="11">
        <f t="shared" si="24"/>
        <v>335521.28044906456</v>
      </c>
      <c r="AC52" s="11">
        <f t="shared" si="24"/>
        <v>342231.70605804591</v>
      </c>
      <c r="AD52" s="11">
        <f t="shared" si="24"/>
        <v>349076.34017920675</v>
      </c>
      <c r="AE52" s="11">
        <f t="shared" si="24"/>
        <v>356057.86698279093</v>
      </c>
      <c r="AF52" s="11">
        <f t="shared" si="24"/>
        <v>363179.02432244678</v>
      </c>
      <c r="AG52" s="11">
        <f t="shared" si="24"/>
        <v>370442.60480889567</v>
      </c>
      <c r="AH52" s="11">
        <f t="shared" si="24"/>
        <v>377851.4569050736</v>
      </c>
      <c r="AI52" s="11">
        <f t="shared" si="24"/>
        <v>385408.48604317504</v>
      </c>
      <c r="AJ52" s="11">
        <f t="shared" si="24"/>
        <v>128116.65576403857</v>
      </c>
      <c r="AK52" s="11">
        <f t="shared" si="24"/>
        <v>400978.9888793194</v>
      </c>
      <c r="AL52" s="11">
        <f t="shared" si="24"/>
        <v>408998.56865690579</v>
      </c>
    </row>
    <row r="53" spans="1:38" x14ac:dyDescent="0.2">
      <c r="A53" t="s">
        <v>78</v>
      </c>
      <c r="B53" t="s">
        <v>50</v>
      </c>
      <c r="C53" t="b">
        <v>0</v>
      </c>
      <c r="D53" s="10">
        <f>E53+NPV($K$5,F53:AK53)</f>
        <v>0</v>
      </c>
      <c r="E53" s="24">
        <f t="shared" ref="E53:AL53" si="25">IF(E19=ROUNDUP($B$14,0),-MIN(0,E52+E44),0)</f>
        <v>0</v>
      </c>
      <c r="F53" s="24">
        <f t="shared" si="25"/>
        <v>0</v>
      </c>
      <c r="G53" s="24">
        <f t="shared" si="25"/>
        <v>0</v>
      </c>
      <c r="H53" s="24">
        <f t="shared" si="25"/>
        <v>0</v>
      </c>
      <c r="I53" s="24">
        <f t="shared" si="25"/>
        <v>0</v>
      </c>
      <c r="J53" s="24">
        <f t="shared" si="25"/>
        <v>0</v>
      </c>
      <c r="K53" s="24">
        <f t="shared" si="25"/>
        <v>0</v>
      </c>
      <c r="L53" s="24">
        <f t="shared" si="25"/>
        <v>0</v>
      </c>
      <c r="M53" s="24">
        <f t="shared" si="25"/>
        <v>0</v>
      </c>
      <c r="N53" s="24">
        <f t="shared" si="25"/>
        <v>0</v>
      </c>
      <c r="O53" s="24">
        <f t="shared" si="25"/>
        <v>0</v>
      </c>
      <c r="P53" s="24">
        <f t="shared" si="25"/>
        <v>0</v>
      </c>
      <c r="Q53" s="24">
        <f t="shared" si="25"/>
        <v>0</v>
      </c>
      <c r="R53" s="24">
        <f t="shared" si="25"/>
        <v>0</v>
      </c>
      <c r="S53" s="24">
        <f t="shared" si="25"/>
        <v>0</v>
      </c>
      <c r="T53" s="24">
        <f t="shared" si="25"/>
        <v>0</v>
      </c>
      <c r="U53" s="24">
        <f t="shared" si="25"/>
        <v>0</v>
      </c>
      <c r="V53" s="24">
        <f t="shared" si="25"/>
        <v>0</v>
      </c>
      <c r="W53" s="24">
        <f t="shared" si="25"/>
        <v>0</v>
      </c>
      <c r="X53" s="24">
        <f t="shared" si="25"/>
        <v>0</v>
      </c>
      <c r="Y53" s="24">
        <f t="shared" si="25"/>
        <v>0</v>
      </c>
      <c r="Z53" s="24">
        <f t="shared" si="25"/>
        <v>0</v>
      </c>
      <c r="AA53" s="24">
        <f t="shared" si="25"/>
        <v>0</v>
      </c>
      <c r="AB53" s="24">
        <f t="shared" si="25"/>
        <v>0</v>
      </c>
      <c r="AC53" s="24">
        <f t="shared" si="25"/>
        <v>0</v>
      </c>
      <c r="AD53" s="24">
        <f t="shared" si="25"/>
        <v>0</v>
      </c>
      <c r="AE53" s="24">
        <f t="shared" si="25"/>
        <v>0</v>
      </c>
      <c r="AF53" s="24">
        <f t="shared" si="25"/>
        <v>0</v>
      </c>
      <c r="AG53" s="24">
        <f t="shared" si="25"/>
        <v>0</v>
      </c>
      <c r="AH53" s="24">
        <f t="shared" si="25"/>
        <v>0</v>
      </c>
      <c r="AI53" s="24">
        <f t="shared" si="25"/>
        <v>0</v>
      </c>
      <c r="AJ53" s="24">
        <f t="shared" si="25"/>
        <v>0</v>
      </c>
      <c r="AK53" s="24">
        <f t="shared" si="25"/>
        <v>0</v>
      </c>
      <c r="AL53" s="24">
        <f t="shared" si="25"/>
        <v>0</v>
      </c>
    </row>
    <row r="54" spans="1:38" x14ac:dyDescent="0.2">
      <c r="A54" t="s">
        <v>79</v>
      </c>
      <c r="B54" t="s">
        <v>50</v>
      </c>
      <c r="C54" t="b">
        <v>0</v>
      </c>
      <c r="D54" s="10">
        <f>E54+NPV($K$5,F54:AK54)</f>
        <v>1.8907823218080159E-2</v>
      </c>
      <c r="E54" s="9">
        <f t="shared" ref="E54:AL54" si="26">IF(E$19&gt;ROUNDUP($B$14,0),IF(E55&lt;&gt;-0.01,PPMT($K$7,E$19-ROUNDUP($B$14,0),$K$8,SUM($E$53:$AL$53)),0.01),0)</f>
        <v>0</v>
      </c>
      <c r="F54" s="9">
        <f t="shared" si="26"/>
        <v>0</v>
      </c>
      <c r="G54" s="9">
        <f t="shared" si="26"/>
        <v>0</v>
      </c>
      <c r="H54" s="9">
        <f t="shared" si="26"/>
        <v>0</v>
      </c>
      <c r="I54" s="9">
        <f t="shared" si="26"/>
        <v>0</v>
      </c>
      <c r="J54" s="9">
        <f t="shared" si="26"/>
        <v>0</v>
      </c>
      <c r="K54" s="9">
        <f t="shared" si="26"/>
        <v>0</v>
      </c>
      <c r="L54" s="9">
        <f t="shared" si="26"/>
        <v>0</v>
      </c>
      <c r="M54" s="9">
        <f t="shared" si="26"/>
        <v>0</v>
      </c>
      <c r="N54" s="9">
        <f t="shared" si="26"/>
        <v>0</v>
      </c>
      <c r="O54" s="9">
        <f t="shared" si="26"/>
        <v>0</v>
      </c>
      <c r="P54" s="9">
        <f t="shared" si="26"/>
        <v>0</v>
      </c>
      <c r="Q54" s="9">
        <f t="shared" si="26"/>
        <v>0</v>
      </c>
      <c r="R54" s="9">
        <f t="shared" si="26"/>
        <v>0</v>
      </c>
      <c r="S54" s="9">
        <f t="shared" si="26"/>
        <v>0</v>
      </c>
      <c r="T54" s="9">
        <f t="shared" si="26"/>
        <v>0</v>
      </c>
      <c r="U54" s="9">
        <f t="shared" si="26"/>
        <v>0</v>
      </c>
      <c r="V54" s="9">
        <f t="shared" si="26"/>
        <v>0</v>
      </c>
      <c r="W54" s="9">
        <f t="shared" si="26"/>
        <v>0</v>
      </c>
      <c r="X54" s="9">
        <f t="shared" si="26"/>
        <v>0</v>
      </c>
      <c r="Y54" s="9">
        <f t="shared" si="26"/>
        <v>0</v>
      </c>
      <c r="Z54" s="9">
        <f t="shared" si="26"/>
        <v>0</v>
      </c>
      <c r="AA54" s="9">
        <f t="shared" si="26"/>
        <v>0</v>
      </c>
      <c r="AB54" s="9">
        <f t="shared" si="26"/>
        <v>0</v>
      </c>
      <c r="AC54" s="9">
        <f t="shared" si="26"/>
        <v>0</v>
      </c>
      <c r="AD54" s="9">
        <f t="shared" si="26"/>
        <v>0</v>
      </c>
      <c r="AE54" s="9">
        <f t="shared" si="26"/>
        <v>0</v>
      </c>
      <c r="AF54" s="9">
        <f t="shared" si="26"/>
        <v>0.01</v>
      </c>
      <c r="AG54" s="9">
        <f t="shared" si="26"/>
        <v>0.01</v>
      </c>
      <c r="AH54" s="9">
        <f t="shared" si="26"/>
        <v>0.01</v>
      </c>
      <c r="AI54" s="9">
        <f t="shared" si="26"/>
        <v>0.01</v>
      </c>
      <c r="AJ54" s="9">
        <f t="shared" si="26"/>
        <v>0.01</v>
      </c>
      <c r="AK54" s="9">
        <f t="shared" si="26"/>
        <v>0.01</v>
      </c>
      <c r="AL54" s="9">
        <f t="shared" si="26"/>
        <v>0.01</v>
      </c>
    </row>
    <row r="55" spans="1:38" x14ac:dyDescent="0.2">
      <c r="A55" t="s">
        <v>80</v>
      </c>
      <c r="B55" t="s">
        <v>50</v>
      </c>
      <c r="C55" t="b">
        <v>0</v>
      </c>
      <c r="D55" s="10">
        <f>E55+NPV($K$5,F55:AK55)</f>
        <v>-1.8907823218080159E-2</v>
      </c>
      <c r="E55" s="9">
        <f t="shared" ref="E55:AL55" si="27">IF(E$19&gt;ROUNDUP($B$14,0),IFERROR(IPMT($K$7,E$19-ROUNDUP($B$14,0),$K$8,SUM($E$53:$AL$53)),-0.01),0)</f>
        <v>0</v>
      </c>
      <c r="F55" s="9">
        <f t="shared" si="27"/>
        <v>0</v>
      </c>
      <c r="G55" s="9">
        <f t="shared" si="27"/>
        <v>0</v>
      </c>
      <c r="H55" s="9">
        <f t="shared" si="27"/>
        <v>0</v>
      </c>
      <c r="I55" s="9">
        <f t="shared" si="27"/>
        <v>0</v>
      </c>
      <c r="J55" s="9">
        <f t="shared" si="27"/>
        <v>0</v>
      </c>
      <c r="K55" s="9">
        <f t="shared" si="27"/>
        <v>0</v>
      </c>
      <c r="L55" s="9">
        <f t="shared" si="27"/>
        <v>0</v>
      </c>
      <c r="M55" s="9">
        <f t="shared" si="27"/>
        <v>0</v>
      </c>
      <c r="N55" s="9">
        <f t="shared" si="27"/>
        <v>0</v>
      </c>
      <c r="O55" s="9">
        <f t="shared" si="27"/>
        <v>0</v>
      </c>
      <c r="P55" s="9">
        <f t="shared" si="27"/>
        <v>0</v>
      </c>
      <c r="Q55" s="9">
        <f t="shared" si="27"/>
        <v>0</v>
      </c>
      <c r="R55" s="9">
        <f t="shared" si="27"/>
        <v>0</v>
      </c>
      <c r="S55" s="9">
        <f t="shared" si="27"/>
        <v>0</v>
      </c>
      <c r="T55" s="9">
        <f t="shared" si="27"/>
        <v>0</v>
      </c>
      <c r="U55" s="9">
        <f t="shared" si="27"/>
        <v>0</v>
      </c>
      <c r="V55" s="9">
        <f t="shared" si="27"/>
        <v>0</v>
      </c>
      <c r="W55" s="9">
        <f t="shared" si="27"/>
        <v>0</v>
      </c>
      <c r="X55" s="9">
        <f t="shared" si="27"/>
        <v>0</v>
      </c>
      <c r="Y55" s="9">
        <f t="shared" si="27"/>
        <v>0</v>
      </c>
      <c r="Z55" s="9">
        <f t="shared" si="27"/>
        <v>0</v>
      </c>
      <c r="AA55" s="9">
        <f t="shared" si="27"/>
        <v>0</v>
      </c>
      <c r="AB55" s="9">
        <f t="shared" si="27"/>
        <v>0</v>
      </c>
      <c r="AC55" s="9">
        <f t="shared" si="27"/>
        <v>0</v>
      </c>
      <c r="AD55" s="9">
        <f t="shared" si="27"/>
        <v>0</v>
      </c>
      <c r="AE55" s="9">
        <f t="shared" si="27"/>
        <v>0</v>
      </c>
      <c r="AF55" s="9">
        <f t="shared" si="27"/>
        <v>-0.01</v>
      </c>
      <c r="AG55" s="9">
        <f t="shared" si="27"/>
        <v>-0.01</v>
      </c>
      <c r="AH55" s="9">
        <f t="shared" si="27"/>
        <v>-0.01</v>
      </c>
      <c r="AI55" s="9">
        <f t="shared" si="27"/>
        <v>-0.01</v>
      </c>
      <c r="AJ55" s="9">
        <f t="shared" si="27"/>
        <v>-0.01</v>
      </c>
      <c r="AK55" s="9">
        <f t="shared" si="27"/>
        <v>-0.01</v>
      </c>
      <c r="AL55" s="9">
        <f t="shared" si="27"/>
        <v>-0.01</v>
      </c>
    </row>
    <row r="57" spans="1:38" x14ac:dyDescent="0.2">
      <c r="A57" s="8" t="s">
        <v>81</v>
      </c>
    </row>
    <row r="58" spans="1:38" s="25" customFormat="1" x14ac:dyDescent="0.2">
      <c r="A58" s="25" t="s">
        <v>82</v>
      </c>
      <c r="B58" s="25" t="s">
        <v>50</v>
      </c>
      <c r="C58" s="25" t="b">
        <v>0</v>
      </c>
      <c r="D58" s="12">
        <f t="shared" ref="D58:D68" si="28">E58+NPV($K$5,F58:AK58)</f>
        <v>0</v>
      </c>
      <c r="E58" s="11">
        <f t="shared" ref="E58:AL58" si="29">SUMIFS(E$52:E$55,$B$52:$B$55,$B$58)+SUMIFS(E$44:E$48,$B$44:$B$48,$B$58)</f>
        <v>0</v>
      </c>
      <c r="F58" s="11">
        <f t="shared" si="29"/>
        <v>0</v>
      </c>
      <c r="G58" s="11">
        <f t="shared" si="29"/>
        <v>0</v>
      </c>
      <c r="H58" s="11">
        <f t="shared" si="29"/>
        <v>0</v>
      </c>
      <c r="I58" s="11">
        <f t="shared" si="29"/>
        <v>0</v>
      </c>
      <c r="J58" s="11">
        <f t="shared" si="29"/>
        <v>0</v>
      </c>
      <c r="K58" s="11">
        <f t="shared" si="29"/>
        <v>0</v>
      </c>
      <c r="L58" s="11">
        <f t="shared" si="29"/>
        <v>0</v>
      </c>
      <c r="M58" s="11">
        <f t="shared" si="29"/>
        <v>0</v>
      </c>
      <c r="N58" s="11">
        <f t="shared" si="29"/>
        <v>0</v>
      </c>
      <c r="O58" s="11">
        <f t="shared" si="29"/>
        <v>0</v>
      </c>
      <c r="P58" s="11">
        <f t="shared" si="29"/>
        <v>0</v>
      </c>
      <c r="Q58" s="11">
        <f t="shared" si="29"/>
        <v>0</v>
      </c>
      <c r="R58" s="11">
        <f t="shared" si="29"/>
        <v>0</v>
      </c>
      <c r="S58" s="11">
        <f t="shared" si="29"/>
        <v>0</v>
      </c>
      <c r="T58" s="11">
        <f t="shared" si="29"/>
        <v>0</v>
      </c>
      <c r="U58" s="11">
        <f t="shared" si="29"/>
        <v>0</v>
      </c>
      <c r="V58" s="11">
        <f t="shared" si="29"/>
        <v>0</v>
      </c>
      <c r="W58" s="11">
        <f t="shared" si="29"/>
        <v>0</v>
      </c>
      <c r="X58" s="11">
        <f t="shared" si="29"/>
        <v>0</v>
      </c>
      <c r="Y58" s="11">
        <f t="shared" si="29"/>
        <v>0</v>
      </c>
      <c r="Z58" s="11">
        <f t="shared" si="29"/>
        <v>0</v>
      </c>
      <c r="AA58" s="11">
        <f t="shared" si="29"/>
        <v>0</v>
      </c>
      <c r="AB58" s="11">
        <f t="shared" si="29"/>
        <v>0</v>
      </c>
      <c r="AC58" s="11">
        <f t="shared" si="29"/>
        <v>0</v>
      </c>
      <c r="AD58" s="11">
        <f t="shared" si="29"/>
        <v>0</v>
      </c>
      <c r="AE58" s="11">
        <f t="shared" si="29"/>
        <v>0</v>
      </c>
      <c r="AF58" s="11">
        <f t="shared" si="29"/>
        <v>0</v>
      </c>
      <c r="AG58" s="11">
        <f t="shared" si="29"/>
        <v>0</v>
      </c>
      <c r="AH58" s="11">
        <f t="shared" si="29"/>
        <v>0</v>
      </c>
      <c r="AI58" s="11">
        <f t="shared" si="29"/>
        <v>0</v>
      </c>
      <c r="AJ58" s="11">
        <f t="shared" si="29"/>
        <v>0</v>
      </c>
      <c r="AK58" s="11">
        <f t="shared" si="29"/>
        <v>0</v>
      </c>
      <c r="AL58" s="11">
        <f t="shared" si="29"/>
        <v>0</v>
      </c>
    </row>
    <row r="59" spans="1:38" s="25" customFormat="1" x14ac:dyDescent="0.2">
      <c r="A59" s="25" t="s">
        <v>82</v>
      </c>
      <c r="B59" s="25" t="s">
        <v>52</v>
      </c>
      <c r="C59" s="25" t="b">
        <v>0</v>
      </c>
      <c r="D59" s="12">
        <f t="shared" si="28"/>
        <v>1674952.6573681748</v>
      </c>
      <c r="E59" s="11">
        <f t="shared" ref="E59:AL59" si="30">SUMIFS(E$21:E$48,$B$21:$B$48,$B$59)</f>
        <v>-3533333.333333333</v>
      </c>
      <c r="F59" s="11">
        <f t="shared" si="30"/>
        <v>3641847.4641435645</v>
      </c>
      <c r="G59" s="11">
        <f t="shared" si="30"/>
        <v>47278.957779765944</v>
      </c>
      <c r="H59" s="11">
        <f t="shared" si="30"/>
        <v>51706.334316823355</v>
      </c>
      <c r="I59" s="11">
        <f t="shared" si="30"/>
        <v>56222.258384621964</v>
      </c>
      <c r="J59" s="11">
        <f t="shared" si="30"/>
        <v>60828.5009337765</v>
      </c>
      <c r="K59" s="11">
        <f t="shared" si="30"/>
        <v>65526.868333914172</v>
      </c>
      <c r="L59" s="11">
        <f t="shared" si="30"/>
        <v>70319.203082054635</v>
      </c>
      <c r="M59" s="11">
        <f t="shared" si="30"/>
        <v>75207.384525157817</v>
      </c>
      <c r="N59" s="11">
        <f t="shared" si="30"/>
        <v>80193.329597123084</v>
      </c>
      <c r="O59" s="11">
        <f t="shared" si="30"/>
        <v>85278.993570527644</v>
      </c>
      <c r="P59" s="11">
        <f t="shared" si="30"/>
        <v>-174533.62917659964</v>
      </c>
      <c r="Q59" s="11">
        <f t="shared" si="30"/>
        <v>95757.495621330512</v>
      </c>
      <c r="R59" s="11">
        <f t="shared" si="30"/>
        <v>101154.44291521917</v>
      </c>
      <c r="S59" s="11">
        <f t="shared" si="30"/>
        <v>106659.32915498574</v>
      </c>
      <c r="T59" s="11">
        <f t="shared" si="30"/>
        <v>112274.31311954756</v>
      </c>
      <c r="U59" s="11">
        <f t="shared" si="30"/>
        <v>118001.59676340067</v>
      </c>
      <c r="V59" s="11">
        <f t="shared" si="30"/>
        <v>123843.42608013081</v>
      </c>
      <c r="W59" s="11">
        <f t="shared" si="30"/>
        <v>129802.09198319551</v>
      </c>
      <c r="X59" s="11">
        <f t="shared" si="30"/>
        <v>135879.93120432156</v>
      </c>
      <c r="Y59" s="11">
        <f t="shared" si="30"/>
        <v>142079.3272098701</v>
      </c>
      <c r="Z59" s="11">
        <f t="shared" si="30"/>
        <v>-116597.28886447039</v>
      </c>
      <c r="AA59" s="11">
        <f t="shared" si="30"/>
        <v>154852.56273970241</v>
      </c>
      <c r="AB59" s="11">
        <f t="shared" si="30"/>
        <v>161431.41137595853</v>
      </c>
      <c r="AC59" s="11">
        <f t="shared" si="30"/>
        <v>168141.83698493987</v>
      </c>
      <c r="AD59" s="11">
        <f t="shared" si="30"/>
        <v>174986.47110610071</v>
      </c>
      <c r="AE59" s="11">
        <f t="shared" si="30"/>
        <v>181967.9979096849</v>
      </c>
      <c r="AF59" s="11">
        <f t="shared" si="30"/>
        <v>297189.35740496597</v>
      </c>
      <c r="AG59" s="11">
        <f t="shared" si="30"/>
        <v>304452.93789141485</v>
      </c>
      <c r="AH59" s="11">
        <f t="shared" si="30"/>
        <v>311861.78998759278</v>
      </c>
      <c r="AI59" s="11">
        <f t="shared" si="30"/>
        <v>319418.81912569422</v>
      </c>
      <c r="AJ59" s="11">
        <f t="shared" si="30"/>
        <v>62126.988846557746</v>
      </c>
      <c r="AK59" s="11">
        <f t="shared" si="30"/>
        <v>334989.32196183858</v>
      </c>
      <c r="AL59" s="11">
        <f t="shared" si="30"/>
        <v>343008.90173942497</v>
      </c>
    </row>
    <row r="60" spans="1:38" x14ac:dyDescent="0.2">
      <c r="A60" t="s">
        <v>83</v>
      </c>
      <c r="B60" t="s">
        <v>52</v>
      </c>
      <c r="C60" t="b">
        <v>0</v>
      </c>
      <c r="D60" s="10">
        <f t="shared" si="28"/>
        <v>0</v>
      </c>
      <c r="E60" s="9">
        <f>IF($B$9="BOB",IF(E$18=0,E58,IF(F$18=0,(F58/(1+$B$13))*(ROUNDUP($B$14,0)-$B$14),0))*(1+$K$14),0)</f>
        <v>0</v>
      </c>
      <c r="F60" s="9">
        <f t="shared" ref="F60:AL60" si="31">IF($B$9="BOB",IF(F$18=0,F58,IF(G$18=0,(G58/(1+$B$13))*(ROUNDUP($B$14,0)-$B$14),0))*(1+$K$14),0)</f>
        <v>0</v>
      </c>
      <c r="G60" s="9">
        <f t="shared" si="31"/>
        <v>0</v>
      </c>
      <c r="H60" s="9">
        <f t="shared" si="31"/>
        <v>0</v>
      </c>
      <c r="I60" s="9">
        <f t="shared" si="31"/>
        <v>0</v>
      </c>
      <c r="J60" s="9">
        <f t="shared" si="31"/>
        <v>0</v>
      </c>
      <c r="K60" s="9">
        <f t="shared" si="31"/>
        <v>0</v>
      </c>
      <c r="L60" s="9">
        <f t="shared" si="31"/>
        <v>0</v>
      </c>
      <c r="M60" s="9">
        <f t="shared" si="31"/>
        <v>0</v>
      </c>
      <c r="N60" s="9">
        <f t="shared" si="31"/>
        <v>0</v>
      </c>
      <c r="O60" s="9">
        <f t="shared" si="31"/>
        <v>0</v>
      </c>
      <c r="P60" s="9">
        <f t="shared" si="31"/>
        <v>0</v>
      </c>
      <c r="Q60" s="9">
        <f t="shared" si="31"/>
        <v>0</v>
      </c>
      <c r="R60" s="9">
        <f t="shared" si="31"/>
        <v>0</v>
      </c>
      <c r="S60" s="9">
        <f t="shared" si="31"/>
        <v>0</v>
      </c>
      <c r="T60" s="9">
        <f t="shared" si="31"/>
        <v>0</v>
      </c>
      <c r="U60" s="9">
        <f t="shared" si="31"/>
        <v>0</v>
      </c>
      <c r="V60" s="9">
        <f t="shared" si="31"/>
        <v>0</v>
      </c>
      <c r="W60" s="9">
        <f t="shared" si="31"/>
        <v>0</v>
      </c>
      <c r="X60" s="9">
        <f t="shared" si="31"/>
        <v>0</v>
      </c>
      <c r="Y60" s="9">
        <f t="shared" si="31"/>
        <v>0</v>
      </c>
      <c r="Z60" s="9">
        <f t="shared" si="31"/>
        <v>0</v>
      </c>
      <c r="AA60" s="9">
        <f t="shared" si="31"/>
        <v>0</v>
      </c>
      <c r="AB60" s="9">
        <f t="shared" si="31"/>
        <v>0</v>
      </c>
      <c r="AC60" s="9">
        <f t="shared" si="31"/>
        <v>0</v>
      </c>
      <c r="AD60" s="9">
        <f t="shared" si="31"/>
        <v>0</v>
      </c>
      <c r="AE60" s="9">
        <f t="shared" si="31"/>
        <v>0</v>
      </c>
      <c r="AF60" s="9">
        <f t="shared" si="31"/>
        <v>0</v>
      </c>
      <c r="AG60" s="9">
        <f t="shared" si="31"/>
        <v>0</v>
      </c>
      <c r="AH60" s="9">
        <f t="shared" si="31"/>
        <v>0</v>
      </c>
      <c r="AI60" s="9">
        <f t="shared" si="31"/>
        <v>0</v>
      </c>
      <c r="AJ60" s="9">
        <f t="shared" si="31"/>
        <v>0</v>
      </c>
      <c r="AK60" s="9">
        <f t="shared" si="31"/>
        <v>0</v>
      </c>
      <c r="AL60" s="9">
        <f t="shared" si="31"/>
        <v>0</v>
      </c>
    </row>
    <row r="61" spans="1:38" x14ac:dyDescent="0.2">
      <c r="A61" t="s">
        <v>84</v>
      </c>
      <c r="B61" t="s">
        <v>52</v>
      </c>
      <c r="C61" t="b">
        <f>B61="BOB"</f>
        <v>0</v>
      </c>
      <c r="D61" s="10">
        <f t="shared" si="28"/>
        <v>0</v>
      </c>
      <c r="E61" s="9">
        <f>-E60/(1+$B$11)</f>
        <v>0</v>
      </c>
      <c r="F61" s="9">
        <f t="shared" ref="F61:AL61" si="32">-F60/(1+$B$11)</f>
        <v>0</v>
      </c>
      <c r="G61" s="9">
        <f>-G60/(1+$B$11)</f>
        <v>0</v>
      </c>
      <c r="H61" s="9">
        <f t="shared" si="32"/>
        <v>0</v>
      </c>
      <c r="I61" s="9">
        <f t="shared" si="32"/>
        <v>0</v>
      </c>
      <c r="J61" s="9">
        <f t="shared" si="32"/>
        <v>0</v>
      </c>
      <c r="K61" s="9">
        <f t="shared" si="32"/>
        <v>0</v>
      </c>
      <c r="L61" s="9">
        <f t="shared" si="32"/>
        <v>0</v>
      </c>
      <c r="M61" s="9">
        <f t="shared" si="32"/>
        <v>0</v>
      </c>
      <c r="N61" s="9">
        <f t="shared" si="32"/>
        <v>0</v>
      </c>
      <c r="O61" s="9">
        <f t="shared" si="32"/>
        <v>0</v>
      </c>
      <c r="P61" s="9">
        <f t="shared" si="32"/>
        <v>0</v>
      </c>
      <c r="Q61" s="9">
        <f t="shared" si="32"/>
        <v>0</v>
      </c>
      <c r="R61" s="9">
        <f t="shared" si="32"/>
        <v>0</v>
      </c>
      <c r="S61" s="9">
        <f t="shared" si="32"/>
        <v>0</v>
      </c>
      <c r="T61" s="9">
        <f t="shared" si="32"/>
        <v>0</v>
      </c>
      <c r="U61" s="9">
        <f t="shared" si="32"/>
        <v>0</v>
      </c>
      <c r="V61" s="9">
        <f t="shared" si="32"/>
        <v>0</v>
      </c>
      <c r="W61" s="9">
        <f t="shared" si="32"/>
        <v>0</v>
      </c>
      <c r="X61" s="9">
        <f t="shared" si="32"/>
        <v>0</v>
      </c>
      <c r="Y61" s="9">
        <f t="shared" si="32"/>
        <v>0</v>
      </c>
      <c r="Z61" s="9">
        <f t="shared" si="32"/>
        <v>0</v>
      </c>
      <c r="AA61" s="9">
        <f t="shared" si="32"/>
        <v>0</v>
      </c>
      <c r="AB61" s="9">
        <f t="shared" si="32"/>
        <v>0</v>
      </c>
      <c r="AC61" s="9">
        <f t="shared" si="32"/>
        <v>0</v>
      </c>
      <c r="AD61" s="9">
        <f t="shared" si="32"/>
        <v>0</v>
      </c>
      <c r="AE61" s="9">
        <f t="shared" si="32"/>
        <v>0</v>
      </c>
      <c r="AF61" s="9">
        <f t="shared" si="32"/>
        <v>0</v>
      </c>
      <c r="AG61" s="9">
        <f t="shared" si="32"/>
        <v>0</v>
      </c>
      <c r="AH61" s="9">
        <f t="shared" si="32"/>
        <v>0</v>
      </c>
      <c r="AI61" s="9">
        <f t="shared" si="32"/>
        <v>0</v>
      </c>
      <c r="AJ61" s="9">
        <f t="shared" si="32"/>
        <v>0</v>
      </c>
      <c r="AK61" s="9">
        <f t="shared" si="32"/>
        <v>0</v>
      </c>
      <c r="AL61" s="9">
        <f t="shared" si="32"/>
        <v>0</v>
      </c>
    </row>
    <row r="62" spans="1:38" x14ac:dyDescent="0.2">
      <c r="A62" t="s">
        <v>85</v>
      </c>
      <c r="B62" t="str">
        <f>B21</f>
        <v>HMBA</v>
      </c>
      <c r="C62" t="b">
        <f>B62="BOB"</f>
        <v>0</v>
      </c>
      <c r="D62" s="10">
        <f t="shared" si="28"/>
        <v>-681854.40268128656</v>
      </c>
      <c r="E62" s="9">
        <f t="shared" ref="E62" si="33">IF(E19&gt;$B$14,$E$14*$E$9*POWER(1+$B$13,E$19-ROUNDUP($B$14,0)),0)*IF(E$18=0,1,ROUNDUP($B$14,0)-$B$14)*IF($C62,1/(1+$B$7),1)</f>
        <v>0</v>
      </c>
      <c r="F62" s="9">
        <f>IF(F19&gt;$B$14,$E$14*$E$9*POWER(1+$B$13,F$19-ROUNDUP($B$14,0)),0)*IF(F$18=0,1,ROUNDUP($B$14,0)-$B$14)*IF($C62,1/(1+$B$7),1)</f>
        <v>-15045.95</v>
      </c>
      <c r="G62" s="9">
        <f t="shared" ref="G62:AL62" si="34">IF(G19&gt;$B$14,$E$14*$E$9*POWER(1+$B$13,G$19-ROUNDUP($B$14,0)),0)*IF(G$18=0,1,ROUNDUP($B$14,0)-$B$14)*IF($C62,1/(1+$B$7),1)</f>
        <v>-30693.738000000001</v>
      </c>
      <c r="H62" s="9">
        <f t="shared" si="34"/>
        <v>-31307.61276</v>
      </c>
      <c r="I62" s="9">
        <f t="shared" si="34"/>
        <v>-31933.765015199999</v>
      </c>
      <c r="J62" s="9">
        <f t="shared" si="34"/>
        <v>-32572.440315504002</v>
      </c>
      <c r="K62" s="9">
        <f t="shared" si="34"/>
        <v>-33223.889121814085</v>
      </c>
      <c r="L62" s="9">
        <f t="shared" si="34"/>
        <v>-33888.366904250368</v>
      </c>
      <c r="M62" s="9">
        <f t="shared" si="34"/>
        <v>-34566.134242335364</v>
      </c>
      <c r="N62" s="9">
        <f t="shared" si="34"/>
        <v>-35257.456927182073</v>
      </c>
      <c r="O62" s="9">
        <f t="shared" si="34"/>
        <v>-35962.606065725719</v>
      </c>
      <c r="P62" s="9">
        <f t="shared" si="34"/>
        <v>-36681.858187040234</v>
      </c>
      <c r="Q62" s="9">
        <f t="shared" si="34"/>
        <v>-37415.495350781028</v>
      </c>
      <c r="R62" s="9">
        <f t="shared" si="34"/>
        <v>-38163.805257796659</v>
      </c>
      <c r="S62" s="9">
        <f t="shared" si="34"/>
        <v>-38927.081362952587</v>
      </c>
      <c r="T62" s="9">
        <f t="shared" si="34"/>
        <v>-39705.622990211647</v>
      </c>
      <c r="U62" s="9">
        <f t="shared" si="34"/>
        <v>-40499.735450015869</v>
      </c>
      <c r="V62" s="9">
        <f t="shared" si="34"/>
        <v>-41309.730159016188</v>
      </c>
      <c r="W62" s="9">
        <f t="shared" si="34"/>
        <v>-42135.924762196519</v>
      </c>
      <c r="X62" s="9">
        <f t="shared" si="34"/>
        <v>-42978.643257440446</v>
      </c>
      <c r="Y62" s="9">
        <f t="shared" si="34"/>
        <v>-43838.216122589249</v>
      </c>
      <c r="Z62" s="9">
        <f t="shared" si="34"/>
        <v>-44714.980445041037</v>
      </c>
      <c r="AA62" s="9">
        <f t="shared" si="34"/>
        <v>-45609.28005394186</v>
      </c>
      <c r="AB62" s="9">
        <f t="shared" si="34"/>
        <v>-46521.4656550207</v>
      </c>
      <c r="AC62" s="9">
        <f t="shared" si="34"/>
        <v>-47451.894968121102</v>
      </c>
      <c r="AD62" s="9">
        <f t="shared" si="34"/>
        <v>-48400.932867483527</v>
      </c>
      <c r="AE62" s="9">
        <f t="shared" si="34"/>
        <v>-49368.951524833195</v>
      </c>
      <c r="AF62" s="9">
        <f t="shared" si="34"/>
        <v>-50356.330555329871</v>
      </c>
      <c r="AG62" s="9">
        <f t="shared" si="34"/>
        <v>-51363.457166436456</v>
      </c>
      <c r="AH62" s="9">
        <f t="shared" si="34"/>
        <v>-52390.726309765196</v>
      </c>
      <c r="AI62" s="9">
        <f t="shared" si="34"/>
        <v>-53438.540835960492</v>
      </c>
      <c r="AJ62" s="9">
        <f t="shared" si="34"/>
        <v>-54507.311652679702</v>
      </c>
      <c r="AK62" s="9">
        <f t="shared" si="34"/>
        <v>-55597.457885733289</v>
      </c>
      <c r="AL62" s="9">
        <f t="shared" si="34"/>
        <v>-56709.407043447965</v>
      </c>
    </row>
    <row r="63" spans="1:38" x14ac:dyDescent="0.2">
      <c r="A63" t="s">
        <v>86</v>
      </c>
      <c r="B63" t="str">
        <f>B22</f>
        <v>HMBA</v>
      </c>
      <c r="C63" t="b">
        <v>0</v>
      </c>
      <c r="D63" s="10">
        <f t="shared" si="28"/>
        <v>-847449.13615558052</v>
      </c>
      <c r="E63" s="24">
        <f>IF(E19&gt;$B$14,$N$14*$E$5*POWER(1+$B$13,E$19-ROUNDUP($B$14,0)),0)*IF(E$18=0,1,ROUNDUP($B$14,0)-$B$14)</f>
        <v>0</v>
      </c>
      <c r="F63" s="24">
        <f t="shared" ref="F63:AL63" si="35">IF(F19&gt;$B$14,$N$14*$E$5*POWER(1+$B$13,F$19-ROUNDUP($B$14,0)),0)*IF(F$18=0,1,ROUNDUP($B$14,0)-$B$14)</f>
        <v>-18700</v>
      </c>
      <c r="G63" s="24">
        <f t="shared" si="35"/>
        <v>-38148</v>
      </c>
      <c r="H63" s="24">
        <f t="shared" si="35"/>
        <v>-38910.959999999999</v>
      </c>
      <c r="I63" s="24">
        <f t="shared" si="35"/>
        <v>-39689.179199999999</v>
      </c>
      <c r="J63" s="24">
        <f t="shared" si="35"/>
        <v>-40482.962783999996</v>
      </c>
      <c r="K63" s="24">
        <f t="shared" si="35"/>
        <v>-41292.622039679998</v>
      </c>
      <c r="L63" s="24">
        <f t="shared" si="35"/>
        <v>-42118.474480473604</v>
      </c>
      <c r="M63" s="24">
        <f t="shared" si="35"/>
        <v>-42960.843970083064</v>
      </c>
      <c r="N63" s="24">
        <f t="shared" si="35"/>
        <v>-43820.060849484733</v>
      </c>
      <c r="O63" s="24">
        <f t="shared" si="35"/>
        <v>-44696.462066474429</v>
      </c>
      <c r="P63" s="24">
        <f t="shared" si="35"/>
        <v>-45590.391307803919</v>
      </c>
      <c r="Q63" s="24">
        <f t="shared" si="35"/>
        <v>-46502.199133959984</v>
      </c>
      <c r="R63" s="24">
        <f t="shared" si="35"/>
        <v>-47432.243116639191</v>
      </c>
      <c r="S63" s="24">
        <f t="shared" si="35"/>
        <v>-48380.887978971972</v>
      </c>
      <c r="T63" s="24">
        <f t="shared" si="35"/>
        <v>-49348.505738551416</v>
      </c>
      <c r="U63" s="24">
        <f t="shared" si="35"/>
        <v>-50335.47585332243</v>
      </c>
      <c r="V63" s="24">
        <f t="shared" si="35"/>
        <v>-51342.185370388892</v>
      </c>
      <c r="W63" s="24">
        <f t="shared" si="35"/>
        <v>-52369.029077796673</v>
      </c>
      <c r="X63" s="24">
        <f t="shared" si="35"/>
        <v>-53416.409659352597</v>
      </c>
      <c r="Y63" s="24">
        <f t="shared" si="35"/>
        <v>-54484.737852539649</v>
      </c>
      <c r="Z63" s="24">
        <f t="shared" si="35"/>
        <v>-55574.432609590447</v>
      </c>
      <c r="AA63" s="24">
        <f t="shared" si="35"/>
        <v>-56685.921261782256</v>
      </c>
      <c r="AB63" s="24">
        <f t="shared" si="35"/>
        <v>-57819.639687017901</v>
      </c>
      <c r="AC63" s="24">
        <f t="shared" si="35"/>
        <v>-58976.032480758251</v>
      </c>
      <c r="AD63" s="24">
        <f t="shared" si="35"/>
        <v>-60155.553130373417</v>
      </c>
      <c r="AE63" s="24">
        <f t="shared" si="35"/>
        <v>-61358.664192980883</v>
      </c>
      <c r="AF63" s="24">
        <f t="shared" si="35"/>
        <v>-62585.837476840512</v>
      </c>
      <c r="AG63" s="24">
        <f t="shared" si="35"/>
        <v>-63837.55422637731</v>
      </c>
      <c r="AH63" s="24">
        <f t="shared" si="35"/>
        <v>-65114.305310904871</v>
      </c>
      <c r="AI63" s="24">
        <f t="shared" si="35"/>
        <v>-66416.591417122952</v>
      </c>
      <c r="AJ63" s="24">
        <f t="shared" si="35"/>
        <v>-67744.923245465427</v>
      </c>
      <c r="AK63" s="24">
        <f t="shared" si="35"/>
        <v>-69099.821710374716</v>
      </c>
      <c r="AL63" s="24">
        <f t="shared" si="35"/>
        <v>-70481.818144582227</v>
      </c>
    </row>
    <row r="64" spans="1:38" s="16" customFormat="1" x14ac:dyDescent="0.2">
      <c r="A64" s="15" t="s">
        <v>67</v>
      </c>
      <c r="B64" s="15" t="s">
        <v>50</v>
      </c>
      <c r="D64" s="19">
        <f t="shared" si="28"/>
        <v>0</v>
      </c>
      <c r="E64" s="18">
        <f>E61*$B$11</f>
        <v>0</v>
      </c>
      <c r="F64" s="18">
        <f t="shared" ref="F64:AL65" si="36">F61*$B$11</f>
        <v>0</v>
      </c>
      <c r="G64" s="18">
        <f t="shared" si="36"/>
        <v>0</v>
      </c>
      <c r="H64" s="18">
        <f t="shared" si="36"/>
        <v>0</v>
      </c>
      <c r="I64" s="18">
        <f t="shared" si="36"/>
        <v>0</v>
      </c>
      <c r="J64" s="18">
        <f t="shared" si="36"/>
        <v>0</v>
      </c>
      <c r="K64" s="18">
        <f t="shared" si="36"/>
        <v>0</v>
      </c>
      <c r="L64" s="18">
        <f t="shared" si="36"/>
        <v>0</v>
      </c>
      <c r="M64" s="18">
        <f t="shared" si="36"/>
        <v>0</v>
      </c>
      <c r="N64" s="18">
        <f t="shared" si="36"/>
        <v>0</v>
      </c>
      <c r="O64" s="18">
        <f t="shared" si="36"/>
        <v>0</v>
      </c>
      <c r="P64" s="18">
        <f t="shared" si="36"/>
        <v>0</v>
      </c>
      <c r="Q64" s="18">
        <f t="shared" si="36"/>
        <v>0</v>
      </c>
      <c r="R64" s="18">
        <f t="shared" si="36"/>
        <v>0</v>
      </c>
      <c r="S64" s="18">
        <f t="shared" si="36"/>
        <v>0</v>
      </c>
      <c r="T64" s="18">
        <f t="shared" si="36"/>
        <v>0</v>
      </c>
      <c r="U64" s="18">
        <f t="shared" si="36"/>
        <v>0</v>
      </c>
      <c r="V64" s="18">
        <f t="shared" si="36"/>
        <v>0</v>
      </c>
      <c r="W64" s="18">
        <f t="shared" si="36"/>
        <v>0</v>
      </c>
      <c r="X64" s="18">
        <f t="shared" si="36"/>
        <v>0</v>
      </c>
      <c r="Y64" s="18">
        <f t="shared" si="36"/>
        <v>0</v>
      </c>
      <c r="Z64" s="18">
        <f t="shared" si="36"/>
        <v>0</v>
      </c>
      <c r="AA64" s="18">
        <f t="shared" si="36"/>
        <v>0</v>
      </c>
      <c r="AB64" s="18">
        <f t="shared" si="36"/>
        <v>0</v>
      </c>
      <c r="AC64" s="18">
        <f t="shared" si="36"/>
        <v>0</v>
      </c>
      <c r="AD64" s="18">
        <f t="shared" si="36"/>
        <v>0</v>
      </c>
      <c r="AE64" s="18">
        <f t="shared" si="36"/>
        <v>0</v>
      </c>
      <c r="AF64" s="18">
        <f t="shared" si="36"/>
        <v>0</v>
      </c>
      <c r="AG64" s="18">
        <f t="shared" si="36"/>
        <v>0</v>
      </c>
      <c r="AH64" s="18">
        <f t="shared" si="36"/>
        <v>0</v>
      </c>
      <c r="AI64" s="18">
        <f t="shared" si="36"/>
        <v>0</v>
      </c>
      <c r="AJ64" s="18">
        <f t="shared" si="36"/>
        <v>0</v>
      </c>
      <c r="AK64" s="18">
        <f t="shared" si="36"/>
        <v>0</v>
      </c>
      <c r="AL64" s="18">
        <f t="shared" si="36"/>
        <v>0</v>
      </c>
    </row>
    <row r="65" spans="1:38" s="16" customFormat="1" x14ac:dyDescent="0.2">
      <c r="A65" s="15" t="s">
        <v>53</v>
      </c>
      <c r="B65" s="15" t="s">
        <v>50</v>
      </c>
      <c r="D65" s="19">
        <f t="shared" si="28"/>
        <v>-34092.720134064315</v>
      </c>
      <c r="E65" s="18">
        <f>E62*$B$11</f>
        <v>0</v>
      </c>
      <c r="F65" s="18">
        <f t="shared" si="36"/>
        <v>-752.29750000000013</v>
      </c>
      <c r="G65" s="18">
        <f t="shared" si="36"/>
        <v>-1534.6869000000002</v>
      </c>
      <c r="H65" s="18">
        <f t="shared" si="36"/>
        <v>-1565.3806380000001</v>
      </c>
      <c r="I65" s="18">
        <f t="shared" si="36"/>
        <v>-1596.6882507600001</v>
      </c>
      <c r="J65" s="18">
        <f t="shared" si="36"/>
        <v>-1628.6220157752002</v>
      </c>
      <c r="K65" s="18">
        <f t="shared" si="36"/>
        <v>-1661.1944560907043</v>
      </c>
      <c r="L65" s="18">
        <f t="shared" si="36"/>
        <v>-1694.4183452125185</v>
      </c>
      <c r="M65" s="18">
        <f t="shared" si="36"/>
        <v>-1728.3067121167683</v>
      </c>
      <c r="N65" s="18">
        <f t="shared" si="36"/>
        <v>-1762.8728463591037</v>
      </c>
      <c r="O65" s="18">
        <f t="shared" si="36"/>
        <v>-1798.1303032862861</v>
      </c>
      <c r="P65" s="18">
        <f t="shared" si="36"/>
        <v>-1834.0929093520117</v>
      </c>
      <c r="Q65" s="18">
        <f t="shared" si="36"/>
        <v>-1870.7747675390515</v>
      </c>
      <c r="R65" s="18">
        <f t="shared" si="36"/>
        <v>-1908.1902628898331</v>
      </c>
      <c r="S65" s="18">
        <f t="shared" si="36"/>
        <v>-1946.3540681476295</v>
      </c>
      <c r="T65" s="18">
        <f t="shared" si="36"/>
        <v>-1985.2811495105825</v>
      </c>
      <c r="U65" s="18">
        <f t="shared" si="36"/>
        <v>-2024.9867725007934</v>
      </c>
      <c r="V65" s="18">
        <f t="shared" si="36"/>
        <v>-2065.4865079508095</v>
      </c>
      <c r="W65" s="18">
        <f t="shared" si="36"/>
        <v>-2106.7962381098259</v>
      </c>
      <c r="X65" s="18">
        <f t="shared" si="36"/>
        <v>-2148.9321628720222</v>
      </c>
      <c r="Y65" s="18">
        <f t="shared" si="36"/>
        <v>-2191.9108061294623</v>
      </c>
      <c r="Z65" s="18">
        <f t="shared" si="36"/>
        <v>-2235.7490222520519</v>
      </c>
      <c r="AA65" s="18">
        <f t="shared" si="36"/>
        <v>-2280.4640026970933</v>
      </c>
      <c r="AB65" s="18">
        <f t="shared" si="36"/>
        <v>-2326.0732827510351</v>
      </c>
      <c r="AC65" s="18">
        <f t="shared" si="36"/>
        <v>-2372.5947484060553</v>
      </c>
      <c r="AD65" s="18">
        <f t="shared" si="36"/>
        <v>-2420.0466433741763</v>
      </c>
      <c r="AE65" s="18">
        <f t="shared" si="36"/>
        <v>-2468.44757624166</v>
      </c>
      <c r="AF65" s="18">
        <f t="shared" si="36"/>
        <v>-2517.8165277664939</v>
      </c>
      <c r="AG65" s="18">
        <f t="shared" si="36"/>
        <v>-2568.1728583218228</v>
      </c>
      <c r="AH65" s="18">
        <f t="shared" si="36"/>
        <v>-2619.5363154882598</v>
      </c>
      <c r="AI65" s="18">
        <f t="shared" si="36"/>
        <v>-2671.9270417980247</v>
      </c>
      <c r="AJ65" s="18">
        <f t="shared" si="36"/>
        <v>-2725.3655826339855</v>
      </c>
      <c r="AK65" s="18">
        <f t="shared" si="36"/>
        <v>-2779.8728942866646</v>
      </c>
      <c r="AL65" s="18">
        <f t="shared" si="36"/>
        <v>-2835.4703521723986</v>
      </c>
    </row>
    <row r="67" spans="1:38" x14ac:dyDescent="0.2">
      <c r="A67" t="s">
        <v>87</v>
      </c>
      <c r="B67" t="s">
        <v>50</v>
      </c>
      <c r="D67" s="10">
        <f t="shared" si="28"/>
        <v>-2073.2054290847973</v>
      </c>
      <c r="E67" s="9">
        <f>SUMIFS(E$58:E$65,$B$58:$B$65,$B67)</f>
        <v>0</v>
      </c>
      <c r="F67" s="9">
        <f>SUMIFS(F$58:F$65,$B$58:$B$65,$B67)-E65-E64</f>
        <v>-752.29750000000013</v>
      </c>
      <c r="G67" s="9">
        <f t="shared" ref="G67:AL67" si="37">SUMIFS(G$58:G$65,$B$58:$B$65,$B67)-F65-F64</f>
        <v>-782.38940000000002</v>
      </c>
      <c r="H67" s="9">
        <f t="shared" si="37"/>
        <v>-30.693737999999939</v>
      </c>
      <c r="I67" s="9">
        <f t="shared" si="37"/>
        <v>-31.307612759999984</v>
      </c>
      <c r="J67" s="9">
        <f t="shared" si="37"/>
        <v>-31.933765015200152</v>
      </c>
      <c r="K67" s="9">
        <f t="shared" si="37"/>
        <v>-32.572440315504082</v>
      </c>
      <c r="L67" s="9">
        <f t="shared" si="37"/>
        <v>-33.223889121814182</v>
      </c>
      <c r="M67" s="9">
        <f t="shared" si="37"/>
        <v>-33.888366904249779</v>
      </c>
      <c r="N67" s="9">
        <f t="shared" si="37"/>
        <v>-34.566134242335465</v>
      </c>
      <c r="O67" s="9">
        <f t="shared" si="37"/>
        <v>-35.257456927182375</v>
      </c>
      <c r="P67" s="9">
        <f t="shared" si="37"/>
        <v>-35.962606065725595</v>
      </c>
      <c r="Q67" s="9">
        <f t="shared" si="37"/>
        <v>-36.681858187039779</v>
      </c>
      <c r="R67" s="9">
        <f t="shared" si="37"/>
        <v>-37.415495350781612</v>
      </c>
      <c r="S67" s="9">
        <f t="shared" si="37"/>
        <v>-38.163805257796412</v>
      </c>
      <c r="T67" s="9">
        <f t="shared" si="37"/>
        <v>-38.927081362953004</v>
      </c>
      <c r="U67" s="9">
        <f t="shared" si="37"/>
        <v>-39.705622990210941</v>
      </c>
      <c r="V67" s="9">
        <f t="shared" si="37"/>
        <v>-40.499735450016033</v>
      </c>
      <c r="W67" s="9">
        <f t="shared" si="37"/>
        <v>-41.309730159016453</v>
      </c>
      <c r="X67" s="9">
        <f t="shared" si="37"/>
        <v>-42.135924762196282</v>
      </c>
      <c r="Y67" s="9">
        <f t="shared" si="37"/>
        <v>-42.978643257440126</v>
      </c>
      <c r="Z67" s="9">
        <f t="shared" si="37"/>
        <v>-43.838216122589529</v>
      </c>
      <c r="AA67" s="9">
        <f t="shared" si="37"/>
        <v>-44.714980445041419</v>
      </c>
      <c r="AB67" s="9">
        <f t="shared" si="37"/>
        <v>-45.609280053941802</v>
      </c>
      <c r="AC67" s="9">
        <f t="shared" si="37"/>
        <v>-46.521465655020165</v>
      </c>
      <c r="AD67" s="9">
        <f t="shared" si="37"/>
        <v>-47.451894968120996</v>
      </c>
      <c r="AE67" s="9">
        <f t="shared" si="37"/>
        <v>-48.400932867483789</v>
      </c>
      <c r="AF67" s="9">
        <f t="shared" si="37"/>
        <v>-49.368951524833847</v>
      </c>
      <c r="AG67" s="9">
        <f t="shared" si="37"/>
        <v>-50.356330555328896</v>
      </c>
      <c r="AH67" s="9">
        <f t="shared" si="37"/>
        <v>-51.363457166437001</v>
      </c>
      <c r="AI67" s="9">
        <f t="shared" si="37"/>
        <v>-52.390726309764887</v>
      </c>
      <c r="AJ67" s="9">
        <f t="shared" si="37"/>
        <v>-53.438540835960794</v>
      </c>
      <c r="AK67" s="9">
        <f t="shared" si="37"/>
        <v>-54.507311652679164</v>
      </c>
      <c r="AL67" s="9">
        <f t="shared" si="37"/>
        <v>-55.597457885734002</v>
      </c>
    </row>
    <row r="68" spans="1:38" x14ac:dyDescent="0.2">
      <c r="A68" t="s">
        <v>87</v>
      </c>
      <c r="B68" t="s">
        <v>52</v>
      </c>
      <c r="D68" s="10">
        <f t="shared" si="28"/>
        <v>145649.11853130907</v>
      </c>
      <c r="E68" s="9">
        <f>SUMIFS(E$58:E$65,$B$58:$B$65,$B68)</f>
        <v>-3533333.333333333</v>
      </c>
      <c r="F68" s="9">
        <f t="shared" ref="F68:AL68" si="38">SUMIFS(F$58:F$65,$B$58:$B$65,$B68)</f>
        <v>3608101.5141435643</v>
      </c>
      <c r="G68" s="9">
        <f t="shared" si="38"/>
        <v>-21562.780220234057</v>
      </c>
      <c r="H68" s="9">
        <f t="shared" si="38"/>
        <v>-18512.238443176644</v>
      </c>
      <c r="I68" s="9">
        <f t="shared" si="38"/>
        <v>-15400.685830578033</v>
      </c>
      <c r="J68" s="9">
        <f t="shared" si="38"/>
        <v>-12226.902165727497</v>
      </c>
      <c r="K68" s="9">
        <f t="shared" si="38"/>
        <v>-8989.6428275799117</v>
      </c>
      <c r="L68" s="9">
        <f t="shared" si="38"/>
        <v>-5687.6383026693366</v>
      </c>
      <c r="M68" s="9">
        <f t="shared" si="38"/>
        <v>-2319.5936872606107</v>
      </c>
      <c r="N68" s="9">
        <f t="shared" si="38"/>
        <v>1115.8118204562779</v>
      </c>
      <c r="O68" s="9">
        <f t="shared" si="38"/>
        <v>4619.9254383274965</v>
      </c>
      <c r="P68" s="9">
        <f t="shared" si="38"/>
        <v>-256805.87867144379</v>
      </c>
      <c r="Q68" s="9">
        <f t="shared" si="38"/>
        <v>11839.8011365895</v>
      </c>
      <c r="R68" s="9">
        <f t="shared" si="38"/>
        <v>15558.394540783323</v>
      </c>
      <c r="S68" s="9">
        <f t="shared" si="38"/>
        <v>19351.359813061186</v>
      </c>
      <c r="T68" s="9">
        <f t="shared" si="38"/>
        <v>23220.184390784496</v>
      </c>
      <c r="U68" s="9">
        <f t="shared" si="38"/>
        <v>27166.385460062367</v>
      </c>
      <c r="V68" s="9">
        <f t="shared" si="38"/>
        <v>31191.510550725725</v>
      </c>
      <c r="W68" s="9">
        <f t="shared" si="38"/>
        <v>35297.138143202319</v>
      </c>
      <c r="X68" s="9">
        <f t="shared" si="38"/>
        <v>39484.878287528518</v>
      </c>
      <c r="Y68" s="9">
        <f t="shared" si="38"/>
        <v>43756.373234741201</v>
      </c>
      <c r="Z68" s="9">
        <f t="shared" si="38"/>
        <v>-216886.70191910188</v>
      </c>
      <c r="AA68" s="9">
        <f t="shared" si="38"/>
        <v>52557.361423978298</v>
      </c>
      <c r="AB68" s="9">
        <f t="shared" si="38"/>
        <v>57090.306033919929</v>
      </c>
      <c r="AC68" s="9">
        <f t="shared" si="38"/>
        <v>61713.909536060513</v>
      </c>
      <c r="AD68" s="9">
        <f t="shared" si="38"/>
        <v>66429.985108243767</v>
      </c>
      <c r="AE68" s="9">
        <f t="shared" si="38"/>
        <v>71240.382191870827</v>
      </c>
      <c r="AF68" s="9">
        <f t="shared" si="38"/>
        <v>184247.1893727956</v>
      </c>
      <c r="AG68" s="9">
        <f t="shared" si="38"/>
        <v>189251.9264986011</v>
      </c>
      <c r="AH68" s="9">
        <f t="shared" si="38"/>
        <v>194356.75836692273</v>
      </c>
      <c r="AI68" s="9">
        <f t="shared" si="38"/>
        <v>199563.68687261079</v>
      </c>
      <c r="AJ68" s="9">
        <f t="shared" si="38"/>
        <v>-60125.246051587383</v>
      </c>
      <c r="AK68" s="9">
        <f t="shared" si="38"/>
        <v>210292.04236573057</v>
      </c>
      <c r="AL68" s="9">
        <f t="shared" si="38"/>
        <v>215817.6765513948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75135-8135-9442-B1A0-BC9F9CA77B41}">
  <dimension ref="A1:C24"/>
  <sheetViews>
    <sheetView workbookViewId="0">
      <selection activeCell="C9" sqref="C9"/>
    </sheetView>
    <sheetView workbookViewId="1">
      <selection activeCell="D29" sqref="D29"/>
    </sheetView>
  </sheetViews>
  <sheetFormatPr baseColWidth="10" defaultRowHeight="16" x14ac:dyDescent="0.2"/>
  <cols>
    <col min="1" max="1" width="45.83203125" customWidth="1"/>
    <col min="2" max="2" width="16.5" bestFit="1" customWidth="1"/>
    <col min="3" max="3" width="12.6640625" bestFit="1" customWidth="1"/>
  </cols>
  <sheetData>
    <row r="1" spans="1:3" x14ac:dyDescent="0.2">
      <c r="A1" s="1" t="s">
        <v>113</v>
      </c>
    </row>
    <row r="2" spans="1:3" x14ac:dyDescent="0.2">
      <c r="A2" t="s">
        <v>91</v>
      </c>
    </row>
    <row r="4" spans="1:3" ht="17" thickBot="1" x14ac:dyDescent="0.25">
      <c r="A4" s="1" t="s">
        <v>109</v>
      </c>
    </row>
    <row r="5" spans="1:3" ht="17" thickBot="1" x14ac:dyDescent="0.25">
      <c r="A5" s="35" t="s">
        <v>108</v>
      </c>
      <c r="B5" s="36" t="s">
        <v>92</v>
      </c>
      <c r="C5" s="37" t="s">
        <v>93</v>
      </c>
    </row>
    <row r="6" spans="1:3" x14ac:dyDescent="0.2">
      <c r="A6" s="27" t="s">
        <v>99</v>
      </c>
      <c r="B6" s="10">
        <f>B7+B8</f>
        <v>-17356250.12650878</v>
      </c>
      <c r="C6" s="38">
        <f>C7+C8</f>
        <v>-21216750.83150626</v>
      </c>
    </row>
    <row r="7" spans="1:3" x14ac:dyDescent="0.2">
      <c r="A7" s="28" t="s">
        <v>94</v>
      </c>
      <c r="B7" s="29">
        <f>antolska_BOB!D21+antolska_BOB!D22</f>
        <v>-14065632.120864667</v>
      </c>
      <c r="C7" s="30">
        <f>antolska_HMBA!D21+antolska_HMBA!D22</f>
        <v>-17383042.755292751</v>
      </c>
    </row>
    <row r="8" spans="1:3" x14ac:dyDescent="0.2">
      <c r="A8" s="28" t="s">
        <v>98</v>
      </c>
      <c r="B8" s="29">
        <f>antolska_BOB!D62+antolska_BOB!D63</f>
        <v>-3290618.0056441124</v>
      </c>
      <c r="C8" s="30">
        <f>antolska_HMBA!D62+antolska_HMBA!D63</f>
        <v>-3833708.0762135084</v>
      </c>
    </row>
    <row r="9" spans="1:3" x14ac:dyDescent="0.2">
      <c r="A9" s="27" t="s">
        <v>97</v>
      </c>
      <c r="B9" s="39">
        <f>B10+B11+B12</f>
        <v>10047084.769711521</v>
      </c>
      <c r="C9" s="40">
        <f>C10+C11+C12</f>
        <v>11650929.568990137</v>
      </c>
    </row>
    <row r="10" spans="1:3" x14ac:dyDescent="0.2">
      <c r="A10" s="28" t="s">
        <v>106</v>
      </c>
      <c r="B10" s="29">
        <f>SUM(antolska_BOB!D27:D28)</f>
        <v>10942427.274619665</v>
      </c>
      <c r="C10" s="30">
        <f>SUM(antolska_HMBA!D27:D28)</f>
        <v>11650929.568990137</v>
      </c>
    </row>
    <row r="11" spans="1:3" x14ac:dyDescent="0.2">
      <c r="A11" s="28" t="s">
        <v>100</v>
      </c>
      <c r="B11" s="29">
        <f>antolska_BOB!D38+antolska_BOB!D39</f>
        <v>-730811.60462594032</v>
      </c>
      <c r="C11" s="30">
        <v>0</v>
      </c>
    </row>
    <row r="12" spans="1:3" x14ac:dyDescent="0.2">
      <c r="A12" s="28" t="s">
        <v>101</v>
      </c>
      <c r="B12" s="29">
        <f>antolska_BOB!D61+antolska_BOB!D60</f>
        <v>-164530.90028220462</v>
      </c>
      <c r="C12" s="30">
        <v>0</v>
      </c>
    </row>
    <row r="13" spans="1:3" x14ac:dyDescent="0.2">
      <c r="A13" s="27" t="s">
        <v>60</v>
      </c>
      <c r="B13" s="39">
        <f>B14+B15+B16+B17</f>
        <v>4446105.8616257757</v>
      </c>
      <c r="C13" s="40">
        <f>SUM(C14:C17)</f>
        <v>5276939.6495151054</v>
      </c>
    </row>
    <row r="14" spans="1:3" x14ac:dyDescent="0.2">
      <c r="A14" s="28" t="s">
        <v>95</v>
      </c>
      <c r="B14" s="29">
        <f>antolska_BOB!D35+antolska_BOB!D36</f>
        <v>7686778.846153846</v>
      </c>
      <c r="C14" s="30">
        <f>antolska_HMBA!D36+antolska_HMBA!D35</f>
        <v>7776224.9999999991</v>
      </c>
    </row>
    <row r="15" spans="1:3" x14ac:dyDescent="0.2">
      <c r="A15" s="28" t="s">
        <v>96</v>
      </c>
      <c r="B15" s="29">
        <f>antolska_BOB!D34+antolska_BOB!D37</f>
        <v>23613457.081760086</v>
      </c>
      <c r="C15" s="30">
        <f>antolska_HMBA!D34+antolska_HMBA!D37</f>
        <v>8045525</v>
      </c>
    </row>
    <row r="16" spans="1:3" x14ac:dyDescent="0.2">
      <c r="A16" s="28" t="s">
        <v>102</v>
      </c>
      <c r="B16" s="29">
        <f>antolska_BOB!D44+antolska_BOB!D46+antolska_BOB!D45</f>
        <v>-24425234.562529307</v>
      </c>
      <c r="C16" s="30">
        <f>antolska_HMBA!D44+antolska_HMBA!D45+antolska_HMBA!D46</f>
        <v>-8045524.9999999981</v>
      </c>
    </row>
    <row r="17" spans="1:3" x14ac:dyDescent="0.2">
      <c r="A17" s="28" t="s">
        <v>103</v>
      </c>
      <c r="B17" s="29">
        <f>antolska_BOB!D47+antolska_BOB!D48</f>
        <v>-2428895.503758851</v>
      </c>
      <c r="C17" s="30">
        <f>antolska_HMBA!D47+antolska_HMBA!D48</f>
        <v>-2499285.3504848965</v>
      </c>
    </row>
    <row r="18" spans="1:3" x14ac:dyDescent="0.2">
      <c r="A18" s="27" t="s">
        <v>46</v>
      </c>
      <c r="B18" s="39">
        <f>SUM(B19:B20)</f>
        <v>-80624.213014644803</v>
      </c>
      <c r="C18" s="40">
        <f>SUM(C19:C20)</f>
        <v>0</v>
      </c>
    </row>
    <row r="19" spans="1:3" x14ac:dyDescent="0.2">
      <c r="A19" s="28" t="s">
        <v>104</v>
      </c>
      <c r="B19" s="29">
        <f>antolska_BOB!D24+antolska_BOB!D40+antolska_BOB!D64+antolska_BOB!D65</f>
        <v>-2155157.1834698608</v>
      </c>
      <c r="C19" s="31">
        <v>0</v>
      </c>
    </row>
    <row r="20" spans="1:3" x14ac:dyDescent="0.2">
      <c r="A20" s="28" t="s">
        <v>105</v>
      </c>
      <c r="B20" s="29">
        <f>antolska_BOB!D51+antolska_BOB!D66</f>
        <v>2074532.970455216</v>
      </c>
      <c r="C20" s="31">
        <v>0</v>
      </c>
    </row>
    <row r="21" spans="1:3" x14ac:dyDescent="0.2">
      <c r="A21" s="28"/>
      <c r="B21" s="29"/>
      <c r="C21" s="31"/>
    </row>
    <row r="22" spans="1:3" ht="17" thickBot="1" x14ac:dyDescent="0.25">
      <c r="A22" s="32" t="s">
        <v>107</v>
      </c>
      <c r="B22" s="33">
        <f>B6+B9+B13+B18</f>
        <v>-2943683.7081861282</v>
      </c>
      <c r="C22" s="34">
        <f>C6+C9+C13+C18</f>
        <v>-4288881.6130010169</v>
      </c>
    </row>
    <row r="23" spans="1:3" x14ac:dyDescent="0.2">
      <c r="A23" s="41" t="s">
        <v>110</v>
      </c>
      <c r="B23" s="42"/>
      <c r="C23" s="43">
        <f>B22-C22</f>
        <v>1345197.9048148887</v>
      </c>
    </row>
    <row r="24" spans="1:3" ht="17" thickBot="1" x14ac:dyDescent="0.25">
      <c r="A24" s="44" t="s">
        <v>111</v>
      </c>
      <c r="B24" s="45">
        <f>-B22/B7</f>
        <v>-0.2092820061616377</v>
      </c>
      <c r="C24" s="46">
        <f>-C22/C7</f>
        <v>-0.2467278987561109</v>
      </c>
    </row>
  </sheetData>
  <conditionalFormatting sqref="B24:C24">
    <cfRule type="iconSet" priority="1">
      <iconSet iconSet="3Symbols2">
        <cfvo type="percent" val="0"/>
        <cfvo type="num" val="0"/>
        <cfvo type="num" val="0.05"/>
      </iconSet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A8B0B-E08E-E145-8027-99E8627514C4}">
  <dimension ref="A1:AL68"/>
  <sheetViews>
    <sheetView tabSelected="1" workbookViewId="0">
      <selection activeCell="B52" sqref="B52"/>
    </sheetView>
    <sheetView workbookViewId="1">
      <selection activeCell="F46" sqref="F46"/>
    </sheetView>
  </sheetViews>
  <sheetFormatPr baseColWidth="10" defaultColWidth="10.6640625" defaultRowHeight="16" x14ac:dyDescent="0.2"/>
  <cols>
    <col min="1" max="1" width="36" bestFit="1" customWidth="1"/>
    <col min="2" max="2" width="20.83203125" customWidth="1"/>
    <col min="4" max="4" width="21.83203125" customWidth="1"/>
    <col min="5" max="5" width="16.33203125" customWidth="1"/>
    <col min="6" max="6" width="36" bestFit="1" customWidth="1"/>
    <col min="7" max="7" width="23.1640625" customWidth="1"/>
    <col min="8" max="8" width="14.33203125" bestFit="1" customWidth="1"/>
    <col min="9" max="9" width="11.6640625" customWidth="1"/>
    <col min="10" max="10" width="16.1640625" customWidth="1"/>
    <col min="11" max="12" width="11" bestFit="1" customWidth="1"/>
    <col min="13" max="13" width="16.1640625" customWidth="1"/>
    <col min="14" max="14" width="14.33203125" bestFit="1" customWidth="1"/>
    <col min="15" max="15" width="12.33203125" bestFit="1" customWidth="1"/>
    <col min="16" max="28" width="11" bestFit="1" customWidth="1"/>
    <col min="29" max="29" width="10.83203125" bestFit="1" customWidth="1"/>
    <col min="30" max="38" width="11" bestFit="1" customWidth="1"/>
  </cols>
  <sheetData>
    <row r="1" spans="1:17" ht="19" x14ac:dyDescent="0.25">
      <c r="A1" s="2" t="s">
        <v>0</v>
      </c>
    </row>
    <row r="2" spans="1:17" x14ac:dyDescent="0.2">
      <c r="A2" t="s">
        <v>1</v>
      </c>
    </row>
    <row r="4" spans="1:17" x14ac:dyDescent="0.2">
      <c r="A4" s="1" t="s">
        <v>2</v>
      </c>
    </row>
    <row r="5" spans="1:17" ht="34" x14ac:dyDescent="0.2">
      <c r="A5" s="7" t="s">
        <v>3</v>
      </c>
      <c r="B5" s="3" t="s">
        <v>112</v>
      </c>
      <c r="D5" s="7" t="s">
        <v>5</v>
      </c>
      <c r="E5" s="3">
        <v>83</v>
      </c>
      <c r="G5" s="7" t="s">
        <v>6</v>
      </c>
      <c r="H5" s="6">
        <v>0.01</v>
      </c>
      <c r="J5" s="7" t="s">
        <v>7</v>
      </c>
      <c r="K5" s="6">
        <v>0.04</v>
      </c>
    </row>
    <row r="6" spans="1:17" ht="34" x14ac:dyDescent="0.2">
      <c r="A6" s="7" t="s">
        <v>8</v>
      </c>
      <c r="B6" s="5">
        <v>-16454620</v>
      </c>
      <c r="D6" s="7" t="s">
        <v>9</v>
      </c>
      <c r="E6" s="3">
        <v>4199</v>
      </c>
      <c r="G6" s="7" t="s">
        <v>10</v>
      </c>
      <c r="H6" s="3">
        <v>40</v>
      </c>
      <c r="J6" s="7" t="s">
        <v>11</v>
      </c>
      <c r="K6" s="3">
        <v>25</v>
      </c>
    </row>
    <row r="7" spans="1:17" ht="34" x14ac:dyDescent="0.2">
      <c r="A7" s="7" t="s">
        <v>12</v>
      </c>
      <c r="B7" s="6">
        <v>0.23</v>
      </c>
      <c r="D7" s="7" t="s">
        <v>13</v>
      </c>
      <c r="E7" s="4">
        <f>B8/E6</f>
        <v>-3185.93470764429</v>
      </c>
      <c r="G7" s="7" t="s">
        <v>14</v>
      </c>
      <c r="H7" s="6">
        <v>0.4</v>
      </c>
      <c r="J7" s="7" t="s">
        <v>15</v>
      </c>
      <c r="K7" s="6">
        <v>0.06</v>
      </c>
    </row>
    <row r="8" spans="1:17" ht="34" x14ac:dyDescent="0.2">
      <c r="A8" s="7" t="s">
        <v>16</v>
      </c>
      <c r="B8" s="4">
        <f>B6/(1+$B$7)</f>
        <v>-13377739.837398374</v>
      </c>
      <c r="D8" s="7" t="s">
        <v>17</v>
      </c>
      <c r="E8" s="6">
        <v>1</v>
      </c>
      <c r="G8" s="7" t="s">
        <v>18</v>
      </c>
      <c r="H8" s="5">
        <v>1980</v>
      </c>
      <c r="J8" s="7" t="s">
        <v>19</v>
      </c>
      <c r="K8" s="3">
        <v>25</v>
      </c>
    </row>
    <row r="9" spans="1:17" ht="34" x14ac:dyDescent="0.2">
      <c r="A9" s="7" t="s">
        <v>20</v>
      </c>
      <c r="B9" s="3">
        <v>6893</v>
      </c>
      <c r="D9" s="7"/>
      <c r="G9" s="7" t="s">
        <v>21</v>
      </c>
      <c r="H9" s="5">
        <v>2140</v>
      </c>
    </row>
    <row r="10" spans="1:17" x14ac:dyDescent="0.2">
      <c r="A10" s="7"/>
      <c r="D10" s="7"/>
      <c r="G10" s="7"/>
    </row>
    <row r="11" spans="1:17" ht="51" x14ac:dyDescent="0.2">
      <c r="A11" s="7" t="s">
        <v>22</v>
      </c>
      <c r="B11" s="6">
        <v>0.05</v>
      </c>
      <c r="D11" s="7" t="s">
        <v>23</v>
      </c>
      <c r="E11" s="5">
        <v>7</v>
      </c>
      <c r="G11" s="7" t="s">
        <v>24</v>
      </c>
      <c r="H11" s="4">
        <f>MIN(H9,-$E$7)*$E$6*0.9</f>
        <v>8087274</v>
      </c>
      <c r="I11" s="20"/>
      <c r="J11" s="7" t="s">
        <v>25</v>
      </c>
      <c r="K11" s="3">
        <v>10</v>
      </c>
      <c r="M11" s="7" t="s">
        <v>26</v>
      </c>
      <c r="N11" s="4">
        <f>-B8*(1+$B$12)-H11</f>
        <v>8367346</v>
      </c>
      <c r="O11" s="20"/>
    </row>
    <row r="12" spans="1:17" ht="51" x14ac:dyDescent="0.2">
      <c r="A12" s="7" t="s">
        <v>27</v>
      </c>
      <c r="B12" s="6">
        <v>0.23</v>
      </c>
      <c r="D12" s="7" t="s">
        <v>28</v>
      </c>
      <c r="E12" s="5">
        <v>2.5</v>
      </c>
      <c r="G12" s="7" t="s">
        <v>29</v>
      </c>
      <c r="H12" s="4">
        <f>MIN(H8,-$E$7)*$E$6</f>
        <v>8314020</v>
      </c>
      <c r="I12" s="20"/>
      <c r="J12" s="7" t="s">
        <v>30</v>
      </c>
      <c r="K12" s="13">
        <v>0.05</v>
      </c>
      <c r="M12" s="7" t="s">
        <v>31</v>
      </c>
      <c r="N12" s="4">
        <f>N13-H12</f>
        <v>8285342.4628317077</v>
      </c>
      <c r="O12" s="20"/>
      <c r="P12" s="20"/>
      <c r="Q12" s="21"/>
    </row>
    <row r="13" spans="1:17" ht="34" x14ac:dyDescent="0.2">
      <c r="A13" s="7" t="s">
        <v>32</v>
      </c>
      <c r="B13" s="6">
        <v>0.02</v>
      </c>
      <c r="D13" s="7" t="s">
        <v>33</v>
      </c>
      <c r="E13" s="5">
        <v>1.5</v>
      </c>
      <c r="G13" s="7" t="s">
        <v>34</v>
      </c>
      <c r="H13" s="4">
        <f>(E11+E13)*E6*12</f>
        <v>428298</v>
      </c>
      <c r="J13" s="7" t="s">
        <v>35</v>
      </c>
      <c r="K13" s="13">
        <v>7.0000000000000001E-3</v>
      </c>
      <c r="M13" s="7" t="s">
        <v>36</v>
      </c>
      <c r="N13" s="4">
        <f>(-SUM(E44:AL44)+SUMIFS(E24:AL24,E18:AL18,"&gt;0"))*(1+B11)*(1+K14)</f>
        <v>16599362.462831708</v>
      </c>
      <c r="P13" s="23"/>
      <c r="Q13" s="21"/>
    </row>
    <row r="14" spans="1:17" ht="51" x14ac:dyDescent="0.2">
      <c r="A14" s="7" t="s">
        <v>37</v>
      </c>
      <c r="B14" s="3">
        <v>2.5</v>
      </c>
      <c r="D14" s="7" t="s">
        <v>38</v>
      </c>
      <c r="E14" s="5">
        <v>-11.3</v>
      </c>
      <c r="G14" s="7" t="s">
        <v>39</v>
      </c>
      <c r="H14" s="4">
        <f>(B9-E6)*E12*12</f>
        <v>80820</v>
      </c>
      <c r="J14" s="7" t="s">
        <v>40</v>
      </c>
      <c r="K14" s="13">
        <v>0.05</v>
      </c>
      <c r="M14" s="7" t="s">
        <v>41</v>
      </c>
      <c r="N14" s="4">
        <v>-1100</v>
      </c>
    </row>
    <row r="16" spans="1:17" ht="19" x14ac:dyDescent="0.25">
      <c r="A16" s="2" t="s">
        <v>42</v>
      </c>
    </row>
    <row r="17" spans="1:38" ht="19" x14ac:dyDescent="0.25">
      <c r="A17" s="2"/>
    </row>
    <row r="18" spans="1:38" s="14" customFormat="1" x14ac:dyDescent="0.2">
      <c r="A18" s="14" t="s">
        <v>43</v>
      </c>
      <c r="E18" s="14">
        <f>IF(E$19&lt;=ROUNDDOWN($B$14,0),(ROUNDDOWN($B$14,0)/$B$14)/ROUNDDOWN($B$14,0),IF(E$19=ROUNDUP($B$14,0),1-SUM($D$18:D18),0))</f>
        <v>0.4</v>
      </c>
      <c r="F18" s="14">
        <f>IF(F$19&lt;=ROUNDDOWN($B$14,0),(ROUNDDOWN($B$14,0)/$B$14)/ROUNDDOWN($B$14,0),IF(F$19=ROUNDUP($B$14,0),1-SUM($D$18:E18),0))</f>
        <v>0.4</v>
      </c>
      <c r="G18" s="14">
        <f>IF(G$19&lt;=ROUNDDOWN($B$14,0),(ROUNDDOWN($B$14,0)/$B$14)/ROUNDDOWN($B$14,0),IF(G$19=ROUNDUP($B$14,0),1-SUM($D$18:F18),0))</f>
        <v>0.19999999999999996</v>
      </c>
      <c r="H18" s="14">
        <f>IF(H$19&lt;=ROUNDDOWN($B$14,0),(ROUNDDOWN($B$14,0)/$B$14)/ROUNDDOWN($B$14,0),IF(H$19=ROUNDUP($B$14,0),1-SUM($D$18:G18),0))</f>
        <v>0</v>
      </c>
      <c r="I18" s="14">
        <f>IF(I$19&lt;=ROUNDDOWN($B$14,0),(ROUNDDOWN($B$14,0)/$B$14)/ROUNDDOWN($B$14,0),IF(I$19=ROUNDUP($B$14,0),1-SUM($D$18:H18),0))</f>
        <v>0</v>
      </c>
      <c r="J18" s="14">
        <f>IF(J$19&lt;=ROUNDDOWN($B$14,0),(ROUNDDOWN($B$14,0)/$B$14)/ROUNDDOWN($B$14,0),IF(J$19=ROUNDUP($B$14,0),1-SUM($D$18:I18),0))</f>
        <v>0</v>
      </c>
      <c r="K18" s="14">
        <f>IF(K$19&lt;=ROUNDDOWN($B$14,0),(ROUNDDOWN($B$14,0)/$B$14)/ROUNDDOWN($B$14,0),IF(K$19=ROUNDUP($B$14,0),1-SUM($D$18:J18),0))</f>
        <v>0</v>
      </c>
      <c r="L18" s="14">
        <f>IF(L$19&lt;=ROUNDDOWN($B$14,0),(ROUNDDOWN($B$14,0)/$B$14)/ROUNDDOWN($B$14,0),IF(L$19=ROUNDUP($B$14,0),1-SUM($D$18:K18),0))</f>
        <v>0</v>
      </c>
      <c r="M18" s="14">
        <f>IF(M$19&lt;=ROUNDDOWN($B$14,0),(ROUNDDOWN($B$14,0)/$B$14)/ROUNDDOWN($B$14,0),IF(M$19=ROUNDUP($B$14,0),1-SUM($D$18:L18),0))</f>
        <v>0</v>
      </c>
    </row>
    <row r="19" spans="1:38" x14ac:dyDescent="0.2">
      <c r="A19" s="1" t="s">
        <v>44</v>
      </c>
      <c r="B19" s="1" t="s">
        <v>45</v>
      </c>
      <c r="C19" s="1" t="s">
        <v>46</v>
      </c>
      <c r="D19" s="1" t="s">
        <v>47</v>
      </c>
      <c r="E19" s="1">
        <v>1</v>
      </c>
      <c r="F19" s="1">
        <v>2</v>
      </c>
      <c r="G19" s="1">
        <v>3</v>
      </c>
      <c r="H19" s="1">
        <v>4</v>
      </c>
      <c r="I19" s="1">
        <v>5</v>
      </c>
      <c r="J19" s="1">
        <v>6</v>
      </c>
      <c r="K19" s="1">
        <v>7</v>
      </c>
      <c r="L19" s="1">
        <v>8</v>
      </c>
      <c r="M19" s="1">
        <v>9</v>
      </c>
      <c r="N19" s="1">
        <v>10</v>
      </c>
      <c r="O19" s="1">
        <v>11</v>
      </c>
      <c r="P19" s="1">
        <v>12</v>
      </c>
      <c r="Q19" s="1">
        <v>13</v>
      </c>
      <c r="R19" s="1">
        <v>14</v>
      </c>
      <c r="S19" s="1">
        <v>15</v>
      </c>
      <c r="T19" s="1">
        <v>16</v>
      </c>
      <c r="U19" s="1">
        <v>17</v>
      </c>
      <c r="V19" s="1">
        <v>18</v>
      </c>
      <c r="W19" s="1">
        <v>19</v>
      </c>
      <c r="X19" s="1">
        <v>20</v>
      </c>
      <c r="Y19" s="1">
        <v>21</v>
      </c>
      <c r="Z19" s="1">
        <v>22</v>
      </c>
      <c r="AA19" s="1">
        <v>23</v>
      </c>
      <c r="AB19" s="1">
        <v>24</v>
      </c>
      <c r="AC19" s="1">
        <v>25</v>
      </c>
      <c r="AD19" s="1">
        <v>26</v>
      </c>
      <c r="AE19" s="1">
        <v>27</v>
      </c>
      <c r="AF19" s="1">
        <v>28</v>
      </c>
      <c r="AG19" s="1">
        <v>29</v>
      </c>
      <c r="AH19" s="1">
        <v>30</v>
      </c>
      <c r="AI19" s="1">
        <v>31</v>
      </c>
      <c r="AJ19" s="1">
        <v>32</v>
      </c>
      <c r="AK19" s="1">
        <v>33</v>
      </c>
      <c r="AL19" s="1">
        <v>34</v>
      </c>
    </row>
    <row r="20" spans="1:38" x14ac:dyDescent="0.2">
      <c r="A20" s="8" t="s">
        <v>48</v>
      </c>
    </row>
    <row r="21" spans="1:38" x14ac:dyDescent="0.2">
      <c r="A21" t="s">
        <v>49</v>
      </c>
      <c r="B21" t="s">
        <v>50</v>
      </c>
      <c r="C21" t="b">
        <v>1</v>
      </c>
      <c r="D21" s="10">
        <f>E21+NPV($K$5,F21:AK21)</f>
        <v>-12970074.984365229</v>
      </c>
      <c r="E21" s="9">
        <f>$B$8*E$18</f>
        <v>-5351095.9349593502</v>
      </c>
      <c r="F21" s="9">
        <f t="shared" ref="F21:AL21" si="0">$B$8*F$18</f>
        <v>-5351095.9349593502</v>
      </c>
      <c r="G21" s="9">
        <f t="shared" si="0"/>
        <v>-2675547.9674796741</v>
      </c>
      <c r="H21" s="9">
        <f t="shared" si="0"/>
        <v>0</v>
      </c>
      <c r="I21" s="9">
        <f t="shared" si="0"/>
        <v>0</v>
      </c>
      <c r="J21" s="9">
        <f t="shared" si="0"/>
        <v>0</v>
      </c>
      <c r="K21" s="9">
        <f t="shared" si="0"/>
        <v>0</v>
      </c>
      <c r="L21" s="9">
        <f t="shared" si="0"/>
        <v>0</v>
      </c>
      <c r="M21" s="9">
        <f t="shared" si="0"/>
        <v>0</v>
      </c>
      <c r="N21" s="9">
        <f t="shared" si="0"/>
        <v>0</v>
      </c>
      <c r="O21" s="9">
        <f t="shared" si="0"/>
        <v>0</v>
      </c>
      <c r="P21" s="9">
        <f t="shared" si="0"/>
        <v>0</v>
      </c>
      <c r="Q21" s="9">
        <f t="shared" si="0"/>
        <v>0</v>
      </c>
      <c r="R21" s="9">
        <f t="shared" si="0"/>
        <v>0</v>
      </c>
      <c r="S21" s="9">
        <f t="shared" si="0"/>
        <v>0</v>
      </c>
      <c r="T21" s="9">
        <f t="shared" si="0"/>
        <v>0</v>
      </c>
      <c r="U21" s="9">
        <f t="shared" si="0"/>
        <v>0</v>
      </c>
      <c r="V21" s="9">
        <f t="shared" si="0"/>
        <v>0</v>
      </c>
      <c r="W21" s="9">
        <f t="shared" si="0"/>
        <v>0</v>
      </c>
      <c r="X21" s="9">
        <f t="shared" si="0"/>
        <v>0</v>
      </c>
      <c r="Y21" s="9">
        <f t="shared" si="0"/>
        <v>0</v>
      </c>
      <c r="Z21" s="9">
        <f t="shared" si="0"/>
        <v>0</v>
      </c>
      <c r="AA21" s="9">
        <f t="shared" si="0"/>
        <v>0</v>
      </c>
      <c r="AB21" s="9">
        <f t="shared" si="0"/>
        <v>0</v>
      </c>
      <c r="AC21" s="9">
        <f t="shared" si="0"/>
        <v>0</v>
      </c>
      <c r="AD21" s="9">
        <f t="shared" si="0"/>
        <v>0</v>
      </c>
      <c r="AE21" s="9">
        <f t="shared" si="0"/>
        <v>0</v>
      </c>
      <c r="AF21" s="9">
        <f t="shared" si="0"/>
        <v>0</v>
      </c>
      <c r="AG21" s="9">
        <f t="shared" si="0"/>
        <v>0</v>
      </c>
      <c r="AH21" s="9">
        <f t="shared" si="0"/>
        <v>0</v>
      </c>
      <c r="AI21" s="9">
        <f t="shared" si="0"/>
        <v>0</v>
      </c>
      <c r="AJ21" s="9">
        <f t="shared" si="0"/>
        <v>0</v>
      </c>
      <c r="AK21" s="9">
        <f t="shared" si="0"/>
        <v>0</v>
      </c>
      <c r="AL21" s="9">
        <f t="shared" si="0"/>
        <v>0</v>
      </c>
    </row>
    <row r="22" spans="1:38" x14ac:dyDescent="0.2">
      <c r="A22" t="s">
        <v>51</v>
      </c>
      <c r="B22" t="s">
        <v>52</v>
      </c>
      <c r="C22" t="b">
        <v>0</v>
      </c>
      <c r="D22" s="10">
        <f>E22+NPV($K$5,F22:AK22)</f>
        <v>-1095557.1364994391</v>
      </c>
      <c r="E22" s="9">
        <f>IF(E$19&lt;($K$11+ROUNDUP($B$14,0)),0,IF(MOD(E$19-ROUNDUP($B$14,0),$K$11)=0,$B$6*$K$12*POWER(1+$B$13,E$19-ROUNDUP(E19,0)),0))</f>
        <v>0</v>
      </c>
      <c r="F22" s="9">
        <f t="shared" ref="F22:AL22" si="1">IF(F$19&lt;($K$11+ROUNDUP($B$14,0)),0,IF(MOD(F$19-ROUNDUP($B$14,0),$K$11)=0,$B$6*$K$12*POWER(1+$B$13,F$19-ROUNDUP(F19,0)),0))</f>
        <v>0</v>
      </c>
      <c r="G22" s="9">
        <f t="shared" si="1"/>
        <v>0</v>
      </c>
      <c r="H22" s="9">
        <f t="shared" si="1"/>
        <v>0</v>
      </c>
      <c r="I22" s="9">
        <f t="shared" si="1"/>
        <v>0</v>
      </c>
      <c r="J22" s="9">
        <f t="shared" si="1"/>
        <v>0</v>
      </c>
      <c r="K22" s="9">
        <f t="shared" si="1"/>
        <v>0</v>
      </c>
      <c r="L22" s="9">
        <f t="shared" si="1"/>
        <v>0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  <c r="Q22" s="9">
        <f t="shared" si="1"/>
        <v>-822731</v>
      </c>
      <c r="R22" s="9">
        <f t="shared" si="1"/>
        <v>0</v>
      </c>
      <c r="S22" s="9">
        <f t="shared" si="1"/>
        <v>0</v>
      </c>
      <c r="T22" s="9">
        <f t="shared" si="1"/>
        <v>0</v>
      </c>
      <c r="U22" s="9">
        <f t="shared" si="1"/>
        <v>0</v>
      </c>
      <c r="V22" s="9">
        <f t="shared" si="1"/>
        <v>0</v>
      </c>
      <c r="W22" s="9">
        <f t="shared" si="1"/>
        <v>0</v>
      </c>
      <c r="X22" s="9">
        <f t="shared" si="1"/>
        <v>0</v>
      </c>
      <c r="Y22" s="9">
        <f t="shared" si="1"/>
        <v>0</v>
      </c>
      <c r="Z22" s="9">
        <f t="shared" si="1"/>
        <v>0</v>
      </c>
      <c r="AA22" s="9">
        <f t="shared" si="1"/>
        <v>-822731</v>
      </c>
      <c r="AB22" s="9">
        <f t="shared" si="1"/>
        <v>0</v>
      </c>
      <c r="AC22" s="9">
        <f t="shared" si="1"/>
        <v>0</v>
      </c>
      <c r="AD22" s="9">
        <f t="shared" si="1"/>
        <v>0</v>
      </c>
      <c r="AE22" s="9">
        <f t="shared" si="1"/>
        <v>0</v>
      </c>
      <c r="AF22" s="9">
        <f t="shared" si="1"/>
        <v>0</v>
      </c>
      <c r="AG22" s="9">
        <f t="shared" si="1"/>
        <v>0</v>
      </c>
      <c r="AH22" s="9">
        <f t="shared" si="1"/>
        <v>0</v>
      </c>
      <c r="AI22" s="9">
        <f t="shared" si="1"/>
        <v>0</v>
      </c>
      <c r="AJ22" s="9">
        <f t="shared" si="1"/>
        <v>0</v>
      </c>
      <c r="AK22" s="9">
        <f t="shared" si="1"/>
        <v>-822731</v>
      </c>
      <c r="AL22" s="9">
        <f t="shared" si="1"/>
        <v>0</v>
      </c>
    </row>
    <row r="23" spans="1:38" x14ac:dyDescent="0.2">
      <c r="D23" s="10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</row>
    <row r="24" spans="1:38" s="16" customFormat="1" x14ac:dyDescent="0.2">
      <c r="A24" s="15" t="s">
        <v>53</v>
      </c>
      <c r="B24" s="15" t="s">
        <v>50</v>
      </c>
      <c r="D24" s="17">
        <f>E24+NPV($K$5,F24:AK24)</f>
        <v>-2983117.2464040024</v>
      </c>
      <c r="E24" s="18">
        <f t="shared" ref="E24:AL24" si="2">SUMIFS(E$21:E$23,$C$21:$C$23,TRUE)*$B$12</f>
        <v>-1230752.0650406505</v>
      </c>
      <c r="F24" s="18">
        <f t="shared" si="2"/>
        <v>-1230752.0650406505</v>
      </c>
      <c r="G24" s="18">
        <f t="shared" si="2"/>
        <v>-615376.03252032504</v>
      </c>
      <c r="H24" s="18">
        <f t="shared" si="2"/>
        <v>0</v>
      </c>
      <c r="I24" s="18">
        <f t="shared" si="2"/>
        <v>0</v>
      </c>
      <c r="J24" s="18">
        <f t="shared" si="2"/>
        <v>0</v>
      </c>
      <c r="K24" s="18">
        <f t="shared" si="2"/>
        <v>0</v>
      </c>
      <c r="L24" s="18">
        <f t="shared" si="2"/>
        <v>0</v>
      </c>
      <c r="M24" s="18">
        <f t="shared" si="2"/>
        <v>0</v>
      </c>
      <c r="N24" s="18">
        <f t="shared" si="2"/>
        <v>0</v>
      </c>
      <c r="O24" s="18">
        <f t="shared" si="2"/>
        <v>0</v>
      </c>
      <c r="P24" s="18">
        <f t="shared" si="2"/>
        <v>0</v>
      </c>
      <c r="Q24" s="18">
        <f t="shared" si="2"/>
        <v>0</v>
      </c>
      <c r="R24" s="18">
        <f t="shared" si="2"/>
        <v>0</v>
      </c>
      <c r="S24" s="18">
        <f t="shared" si="2"/>
        <v>0</v>
      </c>
      <c r="T24" s="18">
        <f t="shared" si="2"/>
        <v>0</v>
      </c>
      <c r="U24" s="18">
        <f t="shared" si="2"/>
        <v>0</v>
      </c>
      <c r="V24" s="18">
        <f t="shared" si="2"/>
        <v>0</v>
      </c>
      <c r="W24" s="18">
        <f t="shared" si="2"/>
        <v>0</v>
      </c>
      <c r="X24" s="18">
        <f t="shared" si="2"/>
        <v>0</v>
      </c>
      <c r="Y24" s="18">
        <f t="shared" si="2"/>
        <v>0</v>
      </c>
      <c r="Z24" s="18">
        <f t="shared" si="2"/>
        <v>0</v>
      </c>
      <c r="AA24" s="18">
        <f t="shared" si="2"/>
        <v>0</v>
      </c>
      <c r="AB24" s="18">
        <f t="shared" si="2"/>
        <v>0</v>
      </c>
      <c r="AC24" s="18">
        <f t="shared" si="2"/>
        <v>0</v>
      </c>
      <c r="AD24" s="18">
        <f t="shared" si="2"/>
        <v>0</v>
      </c>
      <c r="AE24" s="18">
        <f t="shared" si="2"/>
        <v>0</v>
      </c>
      <c r="AF24" s="18">
        <f t="shared" si="2"/>
        <v>0</v>
      </c>
      <c r="AG24" s="18">
        <f t="shared" si="2"/>
        <v>0</v>
      </c>
      <c r="AH24" s="18">
        <f t="shared" si="2"/>
        <v>0</v>
      </c>
      <c r="AI24" s="18">
        <f t="shared" si="2"/>
        <v>0</v>
      </c>
      <c r="AJ24" s="18">
        <f t="shared" si="2"/>
        <v>0</v>
      </c>
      <c r="AK24" s="18">
        <f t="shared" si="2"/>
        <v>0</v>
      </c>
      <c r="AL24" s="18">
        <f t="shared" si="2"/>
        <v>0</v>
      </c>
    </row>
    <row r="26" spans="1:38" x14ac:dyDescent="0.2">
      <c r="A26" s="8" t="s">
        <v>54</v>
      </c>
    </row>
    <row r="27" spans="1:38" x14ac:dyDescent="0.2">
      <c r="A27" t="s">
        <v>55</v>
      </c>
      <c r="B27" t="s">
        <v>52</v>
      </c>
      <c r="C27" t="b">
        <v>0</v>
      </c>
      <c r="D27" s="10">
        <f>E27+NPV($K$5,F27:AK27)</f>
        <v>9205370.3009224851</v>
      </c>
      <c r="E27" s="9">
        <f t="shared" ref="E27:F27" si="3">IF(E19&gt;$B$14,$H$13*POWER(1+$B$13,E$19-$B$14),0)*(1-(($B$14-ROUNDDOWN($B$14,0))*IF(E$19=ROUNDUP($B$14,0),1,0)))</f>
        <v>0</v>
      </c>
      <c r="F27" s="9">
        <f t="shared" si="3"/>
        <v>0</v>
      </c>
      <c r="G27" s="9">
        <f>IF(G19&gt;$B$14,$H$13*POWER(1+$B$13,G$19-$B$14),0)*(1-(($B$14-ROUNDDOWN($B$14,0))*IF(G$19=ROUNDUP($B$14,0),1,0)))</f>
        <v>216279.88830453006</v>
      </c>
      <c r="H27" s="9">
        <f t="shared" ref="H27:AL27" si="4">IF(H19&gt;$B$14,$H$13*POWER(1+$B$13,H$19-$B$14),0)*(1-(($B$14-ROUNDDOWN($B$14,0))*IF(H$19=ROUNDUP($B$14,0),1,0)))</f>
        <v>441210.97214124136</v>
      </c>
      <c r="I27" s="9">
        <f t="shared" si="4"/>
        <v>450035.19158406614</v>
      </c>
      <c r="J27" s="9">
        <f t="shared" si="4"/>
        <v>459035.89541574748</v>
      </c>
      <c r="K27" s="9">
        <f t="shared" si="4"/>
        <v>468216.61332406243</v>
      </c>
      <c r="L27" s="9">
        <f t="shared" si="4"/>
        <v>477580.94559054368</v>
      </c>
      <c r="M27" s="9">
        <f t="shared" si="4"/>
        <v>487132.56450235465</v>
      </c>
      <c r="N27" s="9">
        <f t="shared" si="4"/>
        <v>496875.21579240169</v>
      </c>
      <c r="O27" s="9">
        <f t="shared" si="4"/>
        <v>506812.72010824975</v>
      </c>
      <c r="P27" s="9">
        <f t="shared" si="4"/>
        <v>516948.9745104147</v>
      </c>
      <c r="Q27" s="9">
        <f t="shared" si="4"/>
        <v>527287.95400062308</v>
      </c>
      <c r="R27" s="9">
        <f t="shared" si="4"/>
        <v>537833.71308063553</v>
      </c>
      <c r="S27" s="9">
        <f t="shared" si="4"/>
        <v>548590.38734224823</v>
      </c>
      <c r="T27" s="9">
        <f t="shared" si="4"/>
        <v>559562.19508909318</v>
      </c>
      <c r="U27" s="9">
        <f t="shared" si="4"/>
        <v>570753.43899087503</v>
      </c>
      <c r="V27" s="9">
        <f t="shared" si="4"/>
        <v>582168.50777069258</v>
      </c>
      <c r="W27" s="9">
        <f t="shared" si="4"/>
        <v>593811.87792610645</v>
      </c>
      <c r="X27" s="9">
        <f t="shared" si="4"/>
        <v>605688.11548462859</v>
      </c>
      <c r="Y27" s="9">
        <f t="shared" si="4"/>
        <v>617801.87779432116</v>
      </c>
      <c r="Z27" s="9">
        <f t="shared" si="4"/>
        <v>630157.91535020759</v>
      </c>
      <c r="AA27" s="9">
        <f t="shared" si="4"/>
        <v>642761.07365721173</v>
      </c>
      <c r="AB27" s="9">
        <f t="shared" si="4"/>
        <v>655616.2951303561</v>
      </c>
      <c r="AC27" s="9">
        <f t="shared" si="4"/>
        <v>668728.62103296316</v>
      </c>
      <c r="AD27" s="9">
        <f t="shared" si="4"/>
        <v>682103.19345362252</v>
      </c>
      <c r="AE27" s="9">
        <f t="shared" si="4"/>
        <v>695745.25732269487</v>
      </c>
      <c r="AF27" s="9">
        <f t="shared" si="4"/>
        <v>709660.16246914887</v>
      </c>
      <c r="AG27" s="9">
        <f t="shared" si="4"/>
        <v>723853.36571853177</v>
      </c>
      <c r="AH27" s="9">
        <f t="shared" si="4"/>
        <v>738330.43303290242</v>
      </c>
      <c r="AI27" s="9">
        <f t="shared" si="4"/>
        <v>753097.04169356055</v>
      </c>
      <c r="AJ27" s="9">
        <f t="shared" si="4"/>
        <v>768158.98252743168</v>
      </c>
      <c r="AK27" s="9">
        <f t="shared" si="4"/>
        <v>783522.1621779803</v>
      </c>
      <c r="AL27" s="9">
        <f t="shared" si="4"/>
        <v>799192.60542153998</v>
      </c>
    </row>
    <row r="28" spans="1:38" x14ac:dyDescent="0.2">
      <c r="A28" t="s">
        <v>56</v>
      </c>
      <c r="B28" t="s">
        <v>52</v>
      </c>
      <c r="C28" t="b">
        <v>0</v>
      </c>
      <c r="D28" s="10">
        <f>E28+NPV($K$5,F28:AK28)</f>
        <v>1737056.9736971806</v>
      </c>
      <c r="E28" s="9">
        <f>IF(E19&gt;$B$14,$H$14*POWER(1+$B$13,E$19-$B$14),0)*(1-(($B$14-ROUNDDOWN($B$14,0))*IF(E$19=ROUNDUP($B$14,0),1,0)))</f>
        <v>0</v>
      </c>
      <c r="F28" s="9">
        <f t="shared" ref="F28:AL28" si="5">IF(F19&gt;$B$14,$H$14*POWER(1+$B$13,F$19-$B$14),0)*(1-(($B$14-ROUNDDOWN($B$14,0))*IF(F$19=ROUNDUP($B$14,0),1,0)))</f>
        <v>0</v>
      </c>
      <c r="G28" s="9">
        <f t="shared" si="5"/>
        <v>40812.099455921161</v>
      </c>
      <c r="H28" s="9">
        <f t="shared" si="5"/>
        <v>83256.682890079159</v>
      </c>
      <c r="I28" s="9">
        <f t="shared" si="5"/>
        <v>84921.81654788075</v>
      </c>
      <c r="J28" s="9">
        <f t="shared" si="5"/>
        <v>86620.25287883835</v>
      </c>
      <c r="K28" s="9">
        <f t="shared" si="5"/>
        <v>88352.657936415126</v>
      </c>
      <c r="L28" s="9">
        <f t="shared" si="5"/>
        <v>90119.71109514343</v>
      </c>
      <c r="M28" s="9">
        <f t="shared" si="5"/>
        <v>91922.105317046313</v>
      </c>
      <c r="N28" s="9">
        <f t="shared" si="5"/>
        <v>93760.547423387223</v>
      </c>
      <c r="O28" s="9">
        <f t="shared" si="5"/>
        <v>95635.758371854987</v>
      </c>
      <c r="P28" s="9">
        <f t="shared" si="5"/>
        <v>97548.47353929207</v>
      </c>
      <c r="Q28" s="9">
        <f t="shared" si="5"/>
        <v>99499.443010077928</v>
      </c>
      <c r="R28" s="9">
        <f t="shared" si="5"/>
        <v>101489.43187027948</v>
      </c>
      <c r="S28" s="9">
        <f t="shared" si="5"/>
        <v>103519.22050768507</v>
      </c>
      <c r="T28" s="9">
        <f t="shared" si="5"/>
        <v>105589.60491783878</v>
      </c>
      <c r="U28" s="9">
        <f t="shared" si="5"/>
        <v>107701.39701619555</v>
      </c>
      <c r="V28" s="9">
        <f t="shared" si="5"/>
        <v>109855.42495651948</v>
      </c>
      <c r="W28" s="9">
        <f t="shared" si="5"/>
        <v>112052.53345564987</v>
      </c>
      <c r="X28" s="9">
        <f t="shared" si="5"/>
        <v>114293.58412476286</v>
      </c>
      <c r="Y28" s="9">
        <f t="shared" si="5"/>
        <v>116579.45580725811</v>
      </c>
      <c r="Z28" s="9">
        <f t="shared" si="5"/>
        <v>118911.04492340329</v>
      </c>
      <c r="AA28" s="9">
        <f t="shared" si="5"/>
        <v>121289.26582187135</v>
      </c>
      <c r="AB28" s="9">
        <f t="shared" si="5"/>
        <v>123715.05113830879</v>
      </c>
      <c r="AC28" s="9">
        <f t="shared" si="5"/>
        <v>126189.35216107496</v>
      </c>
      <c r="AD28" s="9">
        <f t="shared" si="5"/>
        <v>128713.13920429646</v>
      </c>
      <c r="AE28" s="9">
        <f t="shared" si="5"/>
        <v>131287.40198838239</v>
      </c>
      <c r="AF28" s="9">
        <f t="shared" si="5"/>
        <v>133913.15002815003</v>
      </c>
      <c r="AG28" s="9">
        <f t="shared" si="5"/>
        <v>136591.41302871305</v>
      </c>
      <c r="AH28" s="9">
        <f t="shared" si="5"/>
        <v>139323.24128928731</v>
      </c>
      <c r="AI28" s="9">
        <f t="shared" si="5"/>
        <v>142109.70611507306</v>
      </c>
      <c r="AJ28" s="9">
        <f t="shared" si="5"/>
        <v>144951.90023737453</v>
      </c>
      <c r="AK28" s="9">
        <f t="shared" si="5"/>
        <v>147850.93824212201</v>
      </c>
      <c r="AL28" s="9">
        <f t="shared" si="5"/>
        <v>150807.95700696445</v>
      </c>
    </row>
    <row r="29" spans="1:38" x14ac:dyDescent="0.2">
      <c r="A29" t="s">
        <v>57</v>
      </c>
      <c r="C29" t="b">
        <v>0</v>
      </c>
      <c r="D29" s="10">
        <f>E29+NPV($K$5,F29:AK29)</f>
        <v>-2529379.750150823</v>
      </c>
      <c r="E29" s="9">
        <f>IF(E27&gt;0,$B$6*$K$13*POWER(1+$B$13,E$19-$B$14),0)</f>
        <v>0</v>
      </c>
      <c r="F29" s="9">
        <f t="shared" ref="F29:AL29" si="6">IF(F27&gt;0,$B$6*$K$13*POWER(1+$B$13,F$19-$B$14),0)</f>
        <v>0</v>
      </c>
      <c r="G29" s="9">
        <f t="shared" si="6"/>
        <v>-116328.46116420999</v>
      </c>
      <c r="H29" s="9">
        <f t="shared" si="6"/>
        <v>-118655.03038749419</v>
      </c>
      <c r="I29" s="9">
        <f t="shared" si="6"/>
        <v>-121028.13099524408</v>
      </c>
      <c r="J29" s="9">
        <f t="shared" si="6"/>
        <v>-123448.69361514895</v>
      </c>
      <c r="K29" s="9">
        <f t="shared" si="6"/>
        <v>-125917.66748745194</v>
      </c>
      <c r="L29" s="9">
        <f t="shared" si="6"/>
        <v>-128436.02083720098</v>
      </c>
      <c r="M29" s="9">
        <f t="shared" si="6"/>
        <v>-131004.74125394502</v>
      </c>
      <c r="N29" s="9">
        <f t="shared" si="6"/>
        <v>-133624.83607902389</v>
      </c>
      <c r="O29" s="9">
        <f t="shared" si="6"/>
        <v>-136297.3328006044</v>
      </c>
      <c r="P29" s="9">
        <f t="shared" si="6"/>
        <v>-139023.27945661647</v>
      </c>
      <c r="Q29" s="9">
        <f t="shared" si="6"/>
        <v>-141803.74504574883</v>
      </c>
      <c r="R29" s="9">
        <f t="shared" si="6"/>
        <v>-144639.8199466638</v>
      </c>
      <c r="S29" s="9">
        <f t="shared" si="6"/>
        <v>-147532.61634559705</v>
      </c>
      <c r="T29" s="9">
        <f t="shared" si="6"/>
        <v>-150483.268672509</v>
      </c>
      <c r="U29" s="9">
        <f t="shared" si="6"/>
        <v>-153492.93404595918</v>
      </c>
      <c r="V29" s="9">
        <f t="shared" si="6"/>
        <v>-156562.7927268784</v>
      </c>
      <c r="W29" s="9">
        <f t="shared" si="6"/>
        <v>-159694.04858141596</v>
      </c>
      <c r="X29" s="9">
        <f t="shared" si="6"/>
        <v>-162887.92955304426</v>
      </c>
      <c r="Y29" s="9">
        <f t="shared" si="6"/>
        <v>-166145.68814410514</v>
      </c>
      <c r="Z29" s="9">
        <f t="shared" si="6"/>
        <v>-169468.60190698729</v>
      </c>
      <c r="AA29" s="9">
        <f t="shared" si="6"/>
        <v>-172857.97394512701</v>
      </c>
      <c r="AB29" s="9">
        <f t="shared" si="6"/>
        <v>-176315.13342402957</v>
      </c>
      <c r="AC29" s="9">
        <f t="shared" si="6"/>
        <v>-179841.43609251015</v>
      </c>
      <c r="AD29" s="9">
        <f t="shared" si="6"/>
        <v>-183438.26481436036</v>
      </c>
      <c r="AE29" s="9">
        <f t="shared" si="6"/>
        <v>-187107.03011064755</v>
      </c>
      <c r="AF29" s="9">
        <f t="shared" si="6"/>
        <v>-190849.17071286053</v>
      </c>
      <c r="AG29" s="9">
        <f t="shared" si="6"/>
        <v>-194666.15412711774</v>
      </c>
      <c r="AH29" s="9">
        <f t="shared" si="6"/>
        <v>-198559.47720966008</v>
      </c>
      <c r="AI29" s="9">
        <f t="shared" si="6"/>
        <v>-202530.66675385329</v>
      </c>
      <c r="AJ29" s="9">
        <f t="shared" si="6"/>
        <v>-206581.28008893036</v>
      </c>
      <c r="AK29" s="9">
        <f t="shared" si="6"/>
        <v>-210712.90569070895</v>
      </c>
      <c r="AL29" s="9">
        <f t="shared" si="6"/>
        <v>-214927.16380452318</v>
      </c>
    </row>
    <row r="30" spans="1:38" x14ac:dyDescent="0.2">
      <c r="A30" t="s">
        <v>58</v>
      </c>
      <c r="C30" t="b">
        <v>0</v>
      </c>
      <c r="D30" s="10">
        <f>E30+NPV($K$5,F30:AK30)</f>
        <v>1095557.1364994391</v>
      </c>
      <c r="E30" s="9">
        <f>-E22</f>
        <v>0</v>
      </c>
      <c r="F30" s="9">
        <f t="shared" ref="F30:AL30" si="7">-F22</f>
        <v>0</v>
      </c>
      <c r="G30" s="9">
        <f t="shared" si="7"/>
        <v>0</v>
      </c>
      <c r="H30" s="9">
        <f t="shared" si="7"/>
        <v>0</v>
      </c>
      <c r="I30" s="9">
        <f t="shared" si="7"/>
        <v>0</v>
      </c>
      <c r="J30" s="9">
        <f t="shared" si="7"/>
        <v>0</v>
      </c>
      <c r="K30" s="9">
        <f t="shared" si="7"/>
        <v>0</v>
      </c>
      <c r="L30" s="9">
        <f t="shared" si="7"/>
        <v>0</v>
      </c>
      <c r="M30" s="9">
        <f t="shared" si="7"/>
        <v>0</v>
      </c>
      <c r="N30" s="9">
        <f t="shared" si="7"/>
        <v>0</v>
      </c>
      <c r="O30" s="9">
        <f t="shared" si="7"/>
        <v>0</v>
      </c>
      <c r="P30" s="9">
        <f t="shared" si="7"/>
        <v>0</v>
      </c>
      <c r="Q30" s="9">
        <f t="shared" si="7"/>
        <v>822731</v>
      </c>
      <c r="R30" s="9">
        <f t="shared" si="7"/>
        <v>0</v>
      </c>
      <c r="S30" s="9">
        <f t="shared" si="7"/>
        <v>0</v>
      </c>
      <c r="T30" s="9">
        <f t="shared" si="7"/>
        <v>0</v>
      </c>
      <c r="U30" s="9">
        <f t="shared" si="7"/>
        <v>0</v>
      </c>
      <c r="V30" s="9">
        <f t="shared" si="7"/>
        <v>0</v>
      </c>
      <c r="W30" s="9">
        <f t="shared" si="7"/>
        <v>0</v>
      </c>
      <c r="X30" s="9">
        <f t="shared" si="7"/>
        <v>0</v>
      </c>
      <c r="Y30" s="9">
        <f t="shared" si="7"/>
        <v>0</v>
      </c>
      <c r="Z30" s="9">
        <f t="shared" si="7"/>
        <v>0</v>
      </c>
      <c r="AA30" s="9">
        <f t="shared" si="7"/>
        <v>822731</v>
      </c>
      <c r="AB30" s="9">
        <f t="shared" si="7"/>
        <v>0</v>
      </c>
      <c r="AC30" s="9">
        <f t="shared" si="7"/>
        <v>0</v>
      </c>
      <c r="AD30" s="9">
        <f t="shared" si="7"/>
        <v>0</v>
      </c>
      <c r="AE30" s="9">
        <f t="shared" si="7"/>
        <v>0</v>
      </c>
      <c r="AF30" s="9">
        <f t="shared" si="7"/>
        <v>0</v>
      </c>
      <c r="AG30" s="9">
        <f t="shared" si="7"/>
        <v>0</v>
      </c>
      <c r="AH30" s="9">
        <f t="shared" si="7"/>
        <v>0</v>
      </c>
      <c r="AI30" s="9">
        <f t="shared" si="7"/>
        <v>0</v>
      </c>
      <c r="AJ30" s="9">
        <f t="shared" si="7"/>
        <v>0</v>
      </c>
      <c r="AK30" s="9">
        <f t="shared" si="7"/>
        <v>822731</v>
      </c>
      <c r="AL30" s="9">
        <f t="shared" si="7"/>
        <v>0</v>
      </c>
    </row>
    <row r="31" spans="1:38" s="16" customFormat="1" x14ac:dyDescent="0.2">
      <c r="A31" s="15" t="s">
        <v>59</v>
      </c>
      <c r="E31" s="18">
        <v>0</v>
      </c>
      <c r="F31" s="18">
        <f>E31-F29-F30</f>
        <v>0</v>
      </c>
      <c r="G31" s="18">
        <f t="shared" ref="G31:AL31" si="8">F31-G29-G30</f>
        <v>116328.46116420999</v>
      </c>
      <c r="H31" s="18">
        <f t="shared" si="8"/>
        <v>234983.49155170418</v>
      </c>
      <c r="I31" s="18">
        <f t="shared" si="8"/>
        <v>356011.62254694826</v>
      </c>
      <c r="J31" s="18">
        <f t="shared" si="8"/>
        <v>479460.31616209721</v>
      </c>
      <c r="K31" s="18">
        <f t="shared" si="8"/>
        <v>605377.98364954919</v>
      </c>
      <c r="L31" s="18">
        <f t="shared" si="8"/>
        <v>733814.00448675011</v>
      </c>
      <c r="M31" s="18">
        <f t="shared" si="8"/>
        <v>864818.74574069516</v>
      </c>
      <c r="N31" s="18">
        <f t="shared" si="8"/>
        <v>998443.58181971905</v>
      </c>
      <c r="O31" s="18">
        <f t="shared" si="8"/>
        <v>1134740.9146203236</v>
      </c>
      <c r="P31" s="18">
        <f t="shared" si="8"/>
        <v>1273764.19407694</v>
      </c>
      <c r="Q31" s="18">
        <f t="shared" si="8"/>
        <v>592836.93912268872</v>
      </c>
      <c r="R31" s="18">
        <f t="shared" si="8"/>
        <v>737476.75906935253</v>
      </c>
      <c r="S31" s="18">
        <f t="shared" si="8"/>
        <v>885009.37541494961</v>
      </c>
      <c r="T31" s="18">
        <f t="shared" si="8"/>
        <v>1035492.6440874586</v>
      </c>
      <c r="U31" s="18">
        <f t="shared" si="8"/>
        <v>1188985.5781334178</v>
      </c>
      <c r="V31" s="18">
        <f t="shared" si="8"/>
        <v>1345548.3708602961</v>
      </c>
      <c r="W31" s="18">
        <f t="shared" si="8"/>
        <v>1505242.4194417121</v>
      </c>
      <c r="X31" s="18">
        <f t="shared" si="8"/>
        <v>1668130.3489947564</v>
      </c>
      <c r="Y31" s="18">
        <f t="shared" si="8"/>
        <v>1834276.0371388616</v>
      </c>
      <c r="Z31" s="18">
        <f t="shared" si="8"/>
        <v>2003744.639045849</v>
      </c>
      <c r="AA31" s="18">
        <f t="shared" si="8"/>
        <v>1353871.6129909758</v>
      </c>
      <c r="AB31" s="18">
        <f t="shared" si="8"/>
        <v>1530186.7464150055</v>
      </c>
      <c r="AC31" s="18">
        <f t="shared" si="8"/>
        <v>1710028.1825075157</v>
      </c>
      <c r="AD31" s="18">
        <f t="shared" si="8"/>
        <v>1893466.447321876</v>
      </c>
      <c r="AE31" s="18">
        <f t="shared" si="8"/>
        <v>2080573.4774325234</v>
      </c>
      <c r="AF31" s="18">
        <f t="shared" si="8"/>
        <v>2271422.6481453842</v>
      </c>
      <c r="AG31" s="18">
        <f t="shared" si="8"/>
        <v>2466088.8022725019</v>
      </c>
      <c r="AH31" s="18">
        <f t="shared" si="8"/>
        <v>2664648.2794821621</v>
      </c>
      <c r="AI31" s="18">
        <f t="shared" si="8"/>
        <v>2867178.9462360153</v>
      </c>
      <c r="AJ31" s="18">
        <f t="shared" si="8"/>
        <v>3073760.2263249457</v>
      </c>
      <c r="AK31" s="18">
        <f t="shared" si="8"/>
        <v>2461742.1320156548</v>
      </c>
      <c r="AL31" s="18">
        <f t="shared" si="8"/>
        <v>2676669.295820178</v>
      </c>
    </row>
    <row r="33" spans="1:38" x14ac:dyDescent="0.2">
      <c r="A33" s="8" t="s">
        <v>60</v>
      </c>
    </row>
    <row r="34" spans="1:38" x14ac:dyDescent="0.2">
      <c r="A34" t="s">
        <v>61</v>
      </c>
      <c r="B34" t="s">
        <v>50</v>
      </c>
      <c r="C34" t="b">
        <v>0</v>
      </c>
      <c r="D34" s="10">
        <f t="shared" ref="D34:D40" si="9">E34+NPV($K$5,F34:AK34)</f>
        <v>15953192.230769232</v>
      </c>
      <c r="E34" s="9">
        <f t="shared" ref="E34:AL34" si="10">IF(E18&gt;0,-E21-E24,0)</f>
        <v>6581848.0000000009</v>
      </c>
      <c r="F34" s="9">
        <f t="shared" si="10"/>
        <v>6581848.0000000009</v>
      </c>
      <c r="G34" s="9">
        <f t="shared" si="10"/>
        <v>3290923.9999999991</v>
      </c>
      <c r="H34" s="9">
        <f t="shared" si="10"/>
        <v>0</v>
      </c>
      <c r="I34" s="9">
        <f t="shared" si="10"/>
        <v>0</v>
      </c>
      <c r="J34" s="9">
        <f t="shared" si="10"/>
        <v>0</v>
      </c>
      <c r="K34" s="9">
        <f t="shared" si="10"/>
        <v>0</v>
      </c>
      <c r="L34" s="9">
        <f t="shared" si="10"/>
        <v>0</v>
      </c>
      <c r="M34" s="9">
        <f t="shared" si="10"/>
        <v>0</v>
      </c>
      <c r="N34" s="9">
        <f t="shared" si="10"/>
        <v>0</v>
      </c>
      <c r="O34" s="9">
        <f t="shared" si="10"/>
        <v>0</v>
      </c>
      <c r="P34" s="9">
        <f t="shared" si="10"/>
        <v>0</v>
      </c>
      <c r="Q34" s="9">
        <f t="shared" si="10"/>
        <v>0</v>
      </c>
      <c r="R34" s="9">
        <f t="shared" si="10"/>
        <v>0</v>
      </c>
      <c r="S34" s="9">
        <f t="shared" si="10"/>
        <v>0</v>
      </c>
      <c r="T34" s="9">
        <f t="shared" si="10"/>
        <v>0</v>
      </c>
      <c r="U34" s="9">
        <f t="shared" si="10"/>
        <v>0</v>
      </c>
      <c r="V34" s="9">
        <f t="shared" si="10"/>
        <v>0</v>
      </c>
      <c r="W34" s="9">
        <f t="shared" si="10"/>
        <v>0</v>
      </c>
      <c r="X34" s="9">
        <f t="shared" si="10"/>
        <v>0</v>
      </c>
      <c r="Y34" s="9">
        <f t="shared" si="10"/>
        <v>0</v>
      </c>
      <c r="Z34" s="9">
        <f t="shared" si="10"/>
        <v>0</v>
      </c>
      <c r="AA34" s="9">
        <f t="shared" si="10"/>
        <v>0</v>
      </c>
      <c r="AB34" s="9">
        <f t="shared" si="10"/>
        <v>0</v>
      </c>
      <c r="AC34" s="9">
        <f t="shared" si="10"/>
        <v>0</v>
      </c>
      <c r="AD34" s="9">
        <f t="shared" si="10"/>
        <v>0</v>
      </c>
      <c r="AE34" s="9">
        <f t="shared" si="10"/>
        <v>0</v>
      </c>
      <c r="AF34" s="9">
        <f t="shared" si="10"/>
        <v>0</v>
      </c>
      <c r="AG34" s="9">
        <f t="shared" si="10"/>
        <v>0</v>
      </c>
      <c r="AH34" s="9">
        <f t="shared" si="10"/>
        <v>0</v>
      </c>
      <c r="AI34" s="9">
        <f t="shared" si="10"/>
        <v>0</v>
      </c>
      <c r="AJ34" s="9">
        <f t="shared" si="10"/>
        <v>0</v>
      </c>
      <c r="AK34" s="9">
        <f t="shared" si="10"/>
        <v>0</v>
      </c>
      <c r="AL34" s="9">
        <f t="shared" si="10"/>
        <v>0</v>
      </c>
    </row>
    <row r="35" spans="1:38" x14ac:dyDescent="0.2">
      <c r="A35" t="s">
        <v>62</v>
      </c>
      <c r="B35" t="s">
        <v>52</v>
      </c>
      <c r="C35" t="b">
        <v>0</v>
      </c>
      <c r="D35" s="10">
        <f t="shared" si="9"/>
        <v>3074711.5384615385</v>
      </c>
      <c r="E35" s="9">
        <f>IF(E$19=ROUNDUP($B$14,0),$H$12*$H$7,0)</f>
        <v>0</v>
      </c>
      <c r="F35" s="9">
        <f t="shared" ref="F35:AL35" si="11">IF(F$19=ROUNDUP($B$14,0),$H$12*$H$7,0)</f>
        <v>0</v>
      </c>
      <c r="G35" s="9">
        <f t="shared" si="11"/>
        <v>3325608</v>
      </c>
      <c r="H35" s="9">
        <f t="shared" si="11"/>
        <v>0</v>
      </c>
      <c r="I35" s="9">
        <f t="shared" si="11"/>
        <v>0</v>
      </c>
      <c r="J35" s="9">
        <f t="shared" si="11"/>
        <v>0</v>
      </c>
      <c r="K35" s="9">
        <f t="shared" si="11"/>
        <v>0</v>
      </c>
      <c r="L35" s="9">
        <f t="shared" si="11"/>
        <v>0</v>
      </c>
      <c r="M35" s="9">
        <f t="shared" si="11"/>
        <v>0</v>
      </c>
      <c r="N35" s="9">
        <f t="shared" si="11"/>
        <v>0</v>
      </c>
      <c r="O35" s="9">
        <f t="shared" si="11"/>
        <v>0</v>
      </c>
      <c r="P35" s="9">
        <f t="shared" si="11"/>
        <v>0</v>
      </c>
      <c r="Q35" s="9">
        <f t="shared" si="11"/>
        <v>0</v>
      </c>
      <c r="R35" s="9">
        <f t="shared" si="11"/>
        <v>0</v>
      </c>
      <c r="S35" s="9">
        <f t="shared" si="11"/>
        <v>0</v>
      </c>
      <c r="T35" s="9">
        <f t="shared" si="11"/>
        <v>0</v>
      </c>
      <c r="U35" s="9">
        <f t="shared" si="11"/>
        <v>0</v>
      </c>
      <c r="V35" s="9">
        <f t="shared" si="11"/>
        <v>0</v>
      </c>
      <c r="W35" s="9">
        <f t="shared" si="11"/>
        <v>0</v>
      </c>
      <c r="X35" s="9">
        <f t="shared" si="11"/>
        <v>0</v>
      </c>
      <c r="Y35" s="9">
        <f t="shared" si="11"/>
        <v>0</v>
      </c>
      <c r="Z35" s="9">
        <f t="shared" si="11"/>
        <v>0</v>
      </c>
      <c r="AA35" s="9">
        <f t="shared" si="11"/>
        <v>0</v>
      </c>
      <c r="AB35" s="9">
        <f t="shared" si="11"/>
        <v>0</v>
      </c>
      <c r="AC35" s="9">
        <f t="shared" si="11"/>
        <v>0</v>
      </c>
      <c r="AD35" s="9">
        <f t="shared" si="11"/>
        <v>0</v>
      </c>
      <c r="AE35" s="9">
        <f t="shared" si="11"/>
        <v>0</v>
      </c>
      <c r="AF35" s="9">
        <f t="shared" si="11"/>
        <v>0</v>
      </c>
      <c r="AG35" s="9">
        <f t="shared" si="11"/>
        <v>0</v>
      </c>
      <c r="AH35" s="9">
        <f t="shared" si="11"/>
        <v>0</v>
      </c>
      <c r="AI35" s="9">
        <f t="shared" si="11"/>
        <v>0</v>
      </c>
      <c r="AJ35" s="9">
        <f t="shared" si="11"/>
        <v>0</v>
      </c>
      <c r="AK35" s="9">
        <f t="shared" si="11"/>
        <v>0</v>
      </c>
      <c r="AL35" s="9">
        <f t="shared" si="11"/>
        <v>0</v>
      </c>
    </row>
    <row r="36" spans="1:38" x14ac:dyDescent="0.2">
      <c r="A36" t="s">
        <v>63</v>
      </c>
      <c r="B36" t="s">
        <v>52</v>
      </c>
      <c r="C36" t="b">
        <v>0</v>
      </c>
      <c r="D36" s="10">
        <f t="shared" si="9"/>
        <v>4612067.307692308</v>
      </c>
      <c r="E36" s="9">
        <f>IF(E$19=ROUNDUP($B$14,0),$H$12*(1-$H$7),0)</f>
        <v>0</v>
      </c>
      <c r="F36" s="9">
        <f t="shared" ref="F36:AL36" si="12">IF(F$19=ROUNDUP($B$14,0),$H$12*(1-$H$7),0)</f>
        <v>0</v>
      </c>
      <c r="G36" s="9">
        <f t="shared" si="12"/>
        <v>4988412</v>
      </c>
      <c r="H36" s="9">
        <f t="shared" si="12"/>
        <v>0</v>
      </c>
      <c r="I36" s="9">
        <f t="shared" si="12"/>
        <v>0</v>
      </c>
      <c r="J36" s="9">
        <f t="shared" si="12"/>
        <v>0</v>
      </c>
      <c r="K36" s="9">
        <f t="shared" si="12"/>
        <v>0</v>
      </c>
      <c r="L36" s="9">
        <f t="shared" si="12"/>
        <v>0</v>
      </c>
      <c r="M36" s="9">
        <f t="shared" si="12"/>
        <v>0</v>
      </c>
      <c r="N36" s="9">
        <f t="shared" si="12"/>
        <v>0</v>
      </c>
      <c r="O36" s="9">
        <f t="shared" si="12"/>
        <v>0</v>
      </c>
      <c r="P36" s="9">
        <f t="shared" si="12"/>
        <v>0</v>
      </c>
      <c r="Q36" s="9">
        <f t="shared" si="12"/>
        <v>0</v>
      </c>
      <c r="R36" s="9">
        <f t="shared" si="12"/>
        <v>0</v>
      </c>
      <c r="S36" s="9">
        <f t="shared" si="12"/>
        <v>0</v>
      </c>
      <c r="T36" s="9">
        <f t="shared" si="12"/>
        <v>0</v>
      </c>
      <c r="U36" s="9">
        <f t="shared" si="12"/>
        <v>0</v>
      </c>
      <c r="V36" s="9">
        <f t="shared" si="12"/>
        <v>0</v>
      </c>
      <c r="W36" s="9">
        <f t="shared" si="12"/>
        <v>0</v>
      </c>
      <c r="X36" s="9">
        <f t="shared" si="12"/>
        <v>0</v>
      </c>
      <c r="Y36" s="9">
        <f t="shared" si="12"/>
        <v>0</v>
      </c>
      <c r="Z36" s="9">
        <f t="shared" si="12"/>
        <v>0</v>
      </c>
      <c r="AA36" s="9">
        <f t="shared" si="12"/>
        <v>0</v>
      </c>
      <c r="AB36" s="9">
        <f t="shared" si="12"/>
        <v>0</v>
      </c>
      <c r="AC36" s="9">
        <f t="shared" si="12"/>
        <v>0</v>
      </c>
      <c r="AD36" s="9">
        <f t="shared" si="12"/>
        <v>0</v>
      </c>
      <c r="AE36" s="9">
        <f t="shared" si="12"/>
        <v>0</v>
      </c>
      <c r="AF36" s="9">
        <f t="shared" si="12"/>
        <v>0</v>
      </c>
      <c r="AG36" s="9">
        <f t="shared" si="12"/>
        <v>0</v>
      </c>
      <c r="AH36" s="9">
        <f t="shared" si="12"/>
        <v>0</v>
      </c>
      <c r="AI36" s="9">
        <f t="shared" si="12"/>
        <v>0</v>
      </c>
      <c r="AJ36" s="9">
        <f t="shared" si="12"/>
        <v>0</v>
      </c>
      <c r="AK36" s="9">
        <f t="shared" si="12"/>
        <v>0</v>
      </c>
      <c r="AL36" s="9">
        <f t="shared" si="12"/>
        <v>0</v>
      </c>
    </row>
    <row r="37" spans="1:38" x14ac:dyDescent="0.2">
      <c r="A37" t="s">
        <v>64</v>
      </c>
      <c r="B37" t="s">
        <v>52</v>
      </c>
      <c r="C37" t="b">
        <v>0</v>
      </c>
      <c r="D37" s="10">
        <f t="shared" si="9"/>
        <v>7660264.8509908533</v>
      </c>
      <c r="E37" s="9">
        <f>IF(E$19=ROUNDUP($B$14,0),$N$12,0)</f>
        <v>0</v>
      </c>
      <c r="F37" s="9">
        <f t="shared" ref="F37:AL37" si="13">IF(F$19=ROUNDUP($B$14,0),$N$12,0)</f>
        <v>0</v>
      </c>
      <c r="G37" s="9">
        <f t="shared" si="13"/>
        <v>8285342.4628317077</v>
      </c>
      <c r="H37" s="9">
        <f t="shared" si="13"/>
        <v>0</v>
      </c>
      <c r="I37" s="9">
        <f t="shared" si="13"/>
        <v>0</v>
      </c>
      <c r="J37" s="9">
        <f t="shared" si="13"/>
        <v>0</v>
      </c>
      <c r="K37" s="9">
        <f t="shared" si="13"/>
        <v>0</v>
      </c>
      <c r="L37" s="9">
        <f t="shared" si="13"/>
        <v>0</v>
      </c>
      <c r="M37" s="9">
        <f t="shared" si="13"/>
        <v>0</v>
      </c>
      <c r="N37" s="9">
        <f t="shared" si="13"/>
        <v>0</v>
      </c>
      <c r="O37" s="9">
        <f t="shared" si="13"/>
        <v>0</v>
      </c>
      <c r="P37" s="9">
        <f t="shared" si="13"/>
        <v>0</v>
      </c>
      <c r="Q37" s="9">
        <f t="shared" si="13"/>
        <v>0</v>
      </c>
      <c r="R37" s="9">
        <f t="shared" si="13"/>
        <v>0</v>
      </c>
      <c r="S37" s="9">
        <f t="shared" si="13"/>
        <v>0</v>
      </c>
      <c r="T37" s="9">
        <f t="shared" si="13"/>
        <v>0</v>
      </c>
      <c r="U37" s="9">
        <f t="shared" si="13"/>
        <v>0</v>
      </c>
      <c r="V37" s="9">
        <f t="shared" si="13"/>
        <v>0</v>
      </c>
      <c r="W37" s="9">
        <f t="shared" si="13"/>
        <v>0</v>
      </c>
      <c r="X37" s="9">
        <f t="shared" si="13"/>
        <v>0</v>
      </c>
      <c r="Y37" s="9">
        <f t="shared" si="13"/>
        <v>0</v>
      </c>
      <c r="Z37" s="9">
        <f t="shared" si="13"/>
        <v>0</v>
      </c>
      <c r="AA37" s="9">
        <f t="shared" si="13"/>
        <v>0</v>
      </c>
      <c r="AB37" s="9">
        <f t="shared" si="13"/>
        <v>0</v>
      </c>
      <c r="AC37" s="9">
        <f t="shared" si="13"/>
        <v>0</v>
      </c>
      <c r="AD37" s="9">
        <f t="shared" si="13"/>
        <v>0</v>
      </c>
      <c r="AE37" s="9">
        <f t="shared" si="13"/>
        <v>0</v>
      </c>
      <c r="AF37" s="9">
        <f t="shared" si="13"/>
        <v>0</v>
      </c>
      <c r="AG37" s="9">
        <f t="shared" si="13"/>
        <v>0</v>
      </c>
      <c r="AH37" s="9">
        <f t="shared" si="13"/>
        <v>0</v>
      </c>
      <c r="AI37" s="9">
        <f t="shared" si="13"/>
        <v>0</v>
      </c>
      <c r="AJ37" s="9">
        <f t="shared" si="13"/>
        <v>0</v>
      </c>
      <c r="AK37" s="9">
        <f t="shared" si="13"/>
        <v>0</v>
      </c>
      <c r="AL37" s="9">
        <f t="shared" si="13"/>
        <v>0</v>
      </c>
    </row>
    <row r="38" spans="1:38" x14ac:dyDescent="0.2">
      <c r="A38" t="s">
        <v>65</v>
      </c>
      <c r="B38" t="s">
        <v>52</v>
      </c>
      <c r="C38" t="b">
        <v>0</v>
      </c>
      <c r="D38" s="10">
        <f t="shared" si="9"/>
        <v>-15347043.6971447</v>
      </c>
      <c r="E38" s="9">
        <f>IF(E$19=ROUNDUP($B$14,0),-$H$12-$N$12,0)</f>
        <v>0</v>
      </c>
      <c r="F38" s="9">
        <f>IF(F$19=ROUNDUP($B$14,0),-$H$12-$N$12,0)</f>
        <v>0</v>
      </c>
      <c r="G38" s="9">
        <f t="shared" ref="G38:AL38" si="14">IF(G$19=ROUNDUP($B$14,0),-$H$12-$N$12,0)</f>
        <v>-16599362.462831708</v>
      </c>
      <c r="H38" s="9">
        <f t="shared" si="14"/>
        <v>0</v>
      </c>
      <c r="I38" s="9">
        <f t="shared" si="14"/>
        <v>0</v>
      </c>
      <c r="J38" s="9">
        <f t="shared" si="14"/>
        <v>0</v>
      </c>
      <c r="K38" s="9">
        <f t="shared" si="14"/>
        <v>0</v>
      </c>
      <c r="L38" s="9">
        <f t="shared" si="14"/>
        <v>0</v>
      </c>
      <c r="M38" s="9">
        <f t="shared" si="14"/>
        <v>0</v>
      </c>
      <c r="N38" s="9">
        <f t="shared" si="14"/>
        <v>0</v>
      </c>
      <c r="O38" s="9">
        <f t="shared" si="14"/>
        <v>0</v>
      </c>
      <c r="P38" s="9">
        <f t="shared" si="14"/>
        <v>0</v>
      </c>
      <c r="Q38" s="9">
        <f t="shared" si="14"/>
        <v>0</v>
      </c>
      <c r="R38" s="9">
        <f t="shared" si="14"/>
        <v>0</v>
      </c>
      <c r="S38" s="9">
        <f t="shared" si="14"/>
        <v>0</v>
      </c>
      <c r="T38" s="9">
        <f t="shared" si="14"/>
        <v>0</v>
      </c>
      <c r="U38" s="9">
        <f t="shared" si="14"/>
        <v>0</v>
      </c>
      <c r="V38" s="9">
        <f t="shared" si="14"/>
        <v>0</v>
      </c>
      <c r="W38" s="9">
        <f t="shared" si="14"/>
        <v>0</v>
      </c>
      <c r="X38" s="9">
        <f t="shared" si="14"/>
        <v>0</v>
      </c>
      <c r="Y38" s="9">
        <f t="shared" si="14"/>
        <v>0</v>
      </c>
      <c r="Z38" s="9">
        <f t="shared" si="14"/>
        <v>0</v>
      </c>
      <c r="AA38" s="9">
        <f t="shared" si="14"/>
        <v>0</v>
      </c>
      <c r="AB38" s="9">
        <f t="shared" si="14"/>
        <v>0</v>
      </c>
      <c r="AC38" s="9">
        <f t="shared" si="14"/>
        <v>0</v>
      </c>
      <c r="AD38" s="9">
        <f t="shared" si="14"/>
        <v>0</v>
      </c>
      <c r="AE38" s="9">
        <f t="shared" si="14"/>
        <v>0</v>
      </c>
      <c r="AF38" s="9">
        <f t="shared" si="14"/>
        <v>0</v>
      </c>
      <c r="AG38" s="9">
        <f t="shared" si="14"/>
        <v>0</v>
      </c>
      <c r="AH38" s="9">
        <f t="shared" si="14"/>
        <v>0</v>
      </c>
      <c r="AI38" s="9">
        <f t="shared" si="14"/>
        <v>0</v>
      </c>
      <c r="AJ38" s="9">
        <f t="shared" si="14"/>
        <v>0</v>
      </c>
      <c r="AK38" s="9">
        <f t="shared" si="14"/>
        <v>0</v>
      </c>
      <c r="AL38" s="9">
        <f t="shared" si="14"/>
        <v>0</v>
      </c>
    </row>
    <row r="39" spans="1:38" x14ac:dyDescent="0.2">
      <c r="A39" t="s">
        <v>66</v>
      </c>
      <c r="B39" t="s">
        <v>50</v>
      </c>
      <c r="C39" t="b">
        <v>1</v>
      </c>
      <c r="D39" s="10">
        <f t="shared" si="9"/>
        <v>14616232.09251876</v>
      </c>
      <c r="E39" s="9">
        <f>-E38/(1+$B$11)</f>
        <v>0</v>
      </c>
      <c r="F39" s="9">
        <f t="shared" ref="F39:AL39" si="15">-F38/(1+$B$11)</f>
        <v>0</v>
      </c>
      <c r="G39" s="9">
        <f t="shared" si="15"/>
        <v>15808916.631268293</v>
      </c>
      <c r="H39" s="9">
        <f t="shared" si="15"/>
        <v>0</v>
      </c>
      <c r="I39" s="9">
        <f t="shared" si="15"/>
        <v>0</v>
      </c>
      <c r="J39" s="9">
        <f t="shared" si="15"/>
        <v>0</v>
      </c>
      <c r="K39" s="9">
        <f t="shared" si="15"/>
        <v>0</v>
      </c>
      <c r="L39" s="9">
        <f t="shared" si="15"/>
        <v>0</v>
      </c>
      <c r="M39" s="9">
        <f t="shared" si="15"/>
        <v>0</v>
      </c>
      <c r="N39" s="9">
        <f t="shared" si="15"/>
        <v>0</v>
      </c>
      <c r="O39" s="9">
        <f t="shared" si="15"/>
        <v>0</v>
      </c>
      <c r="P39" s="9">
        <f t="shared" si="15"/>
        <v>0</v>
      </c>
      <c r="Q39" s="9">
        <f t="shared" si="15"/>
        <v>0</v>
      </c>
      <c r="R39" s="9">
        <f t="shared" si="15"/>
        <v>0</v>
      </c>
      <c r="S39" s="9">
        <f t="shared" si="15"/>
        <v>0</v>
      </c>
      <c r="T39" s="9">
        <f t="shared" si="15"/>
        <v>0</v>
      </c>
      <c r="U39" s="9">
        <f t="shared" si="15"/>
        <v>0</v>
      </c>
      <c r="V39" s="9">
        <f t="shared" si="15"/>
        <v>0</v>
      </c>
      <c r="W39" s="9">
        <f t="shared" si="15"/>
        <v>0</v>
      </c>
      <c r="X39" s="9">
        <f t="shared" si="15"/>
        <v>0</v>
      </c>
      <c r="Y39" s="9">
        <f t="shared" si="15"/>
        <v>0</v>
      </c>
      <c r="Z39" s="9">
        <f t="shared" si="15"/>
        <v>0</v>
      </c>
      <c r="AA39" s="9">
        <f t="shared" si="15"/>
        <v>0</v>
      </c>
      <c r="AB39" s="9">
        <f t="shared" si="15"/>
        <v>0</v>
      </c>
      <c r="AC39" s="9">
        <f t="shared" si="15"/>
        <v>0</v>
      </c>
      <c r="AD39" s="9">
        <f t="shared" si="15"/>
        <v>0</v>
      </c>
      <c r="AE39" s="9">
        <f t="shared" si="15"/>
        <v>0</v>
      </c>
      <c r="AF39" s="9">
        <f t="shared" si="15"/>
        <v>0</v>
      </c>
      <c r="AG39" s="9">
        <f t="shared" si="15"/>
        <v>0</v>
      </c>
      <c r="AH39" s="9">
        <f t="shared" si="15"/>
        <v>0</v>
      </c>
      <c r="AI39" s="9">
        <f t="shared" si="15"/>
        <v>0</v>
      </c>
      <c r="AJ39" s="9">
        <f t="shared" si="15"/>
        <v>0</v>
      </c>
      <c r="AK39" s="9">
        <f t="shared" si="15"/>
        <v>0</v>
      </c>
      <c r="AL39" s="9">
        <f t="shared" si="15"/>
        <v>0</v>
      </c>
    </row>
    <row r="40" spans="1:38" s="16" customFormat="1" x14ac:dyDescent="0.2">
      <c r="A40" s="15" t="s">
        <v>67</v>
      </c>
      <c r="B40" s="15" t="s">
        <v>50</v>
      </c>
      <c r="D40" s="19">
        <f t="shared" si="9"/>
        <v>730811.60462593811</v>
      </c>
      <c r="E40" s="18">
        <f t="shared" ref="E40:AL40" si="16">SUMIFS(E$34:E$39,$C$34:$C$39,TRUE)*$B$11</f>
        <v>0</v>
      </c>
      <c r="F40" s="18">
        <f t="shared" si="16"/>
        <v>0</v>
      </c>
      <c r="G40" s="18">
        <f t="shared" si="16"/>
        <v>790445.83156341466</v>
      </c>
      <c r="H40" s="18">
        <f t="shared" si="16"/>
        <v>0</v>
      </c>
      <c r="I40" s="18">
        <f t="shared" si="16"/>
        <v>0</v>
      </c>
      <c r="J40" s="18">
        <f t="shared" si="16"/>
        <v>0</v>
      </c>
      <c r="K40" s="18">
        <f t="shared" si="16"/>
        <v>0</v>
      </c>
      <c r="L40" s="18">
        <f t="shared" si="16"/>
        <v>0</v>
      </c>
      <c r="M40" s="18">
        <f t="shared" si="16"/>
        <v>0</v>
      </c>
      <c r="N40" s="18">
        <f t="shared" si="16"/>
        <v>0</v>
      </c>
      <c r="O40" s="18">
        <f t="shared" si="16"/>
        <v>0</v>
      </c>
      <c r="P40" s="18">
        <f t="shared" si="16"/>
        <v>0</v>
      </c>
      <c r="Q40" s="18">
        <f t="shared" si="16"/>
        <v>0</v>
      </c>
      <c r="R40" s="18">
        <f t="shared" si="16"/>
        <v>0</v>
      </c>
      <c r="S40" s="18">
        <f t="shared" si="16"/>
        <v>0</v>
      </c>
      <c r="T40" s="18">
        <f t="shared" si="16"/>
        <v>0</v>
      </c>
      <c r="U40" s="18">
        <f t="shared" si="16"/>
        <v>0</v>
      </c>
      <c r="V40" s="18">
        <f t="shared" si="16"/>
        <v>0</v>
      </c>
      <c r="W40" s="18">
        <f t="shared" si="16"/>
        <v>0</v>
      </c>
      <c r="X40" s="18">
        <f t="shared" si="16"/>
        <v>0</v>
      </c>
      <c r="Y40" s="18">
        <f t="shared" si="16"/>
        <v>0</v>
      </c>
      <c r="Z40" s="18">
        <f t="shared" si="16"/>
        <v>0</v>
      </c>
      <c r="AA40" s="18">
        <f t="shared" si="16"/>
        <v>0</v>
      </c>
      <c r="AB40" s="18">
        <f t="shared" si="16"/>
        <v>0</v>
      </c>
      <c r="AC40" s="18">
        <f t="shared" si="16"/>
        <v>0</v>
      </c>
      <c r="AD40" s="18">
        <f t="shared" si="16"/>
        <v>0</v>
      </c>
      <c r="AE40" s="18">
        <f t="shared" si="16"/>
        <v>0</v>
      </c>
      <c r="AF40" s="18">
        <f t="shared" si="16"/>
        <v>0</v>
      </c>
      <c r="AG40" s="18">
        <f t="shared" si="16"/>
        <v>0</v>
      </c>
      <c r="AH40" s="18">
        <f t="shared" si="16"/>
        <v>0</v>
      </c>
      <c r="AI40" s="18">
        <f t="shared" si="16"/>
        <v>0</v>
      </c>
      <c r="AJ40" s="18">
        <f t="shared" si="16"/>
        <v>0</v>
      </c>
      <c r="AK40" s="18">
        <f t="shared" si="16"/>
        <v>0</v>
      </c>
      <c r="AL40" s="18">
        <f t="shared" si="16"/>
        <v>0</v>
      </c>
    </row>
    <row r="41" spans="1:38" s="16" customFormat="1" x14ac:dyDescent="0.2">
      <c r="A41" s="21"/>
      <c r="B41" s="15"/>
      <c r="D41" s="19"/>
      <c r="E41"/>
      <c r="F41" s="22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</row>
    <row r="42" spans="1:38" x14ac:dyDescent="0.2">
      <c r="A42" s="8" t="s">
        <v>68</v>
      </c>
    </row>
    <row r="43" spans="1:38" s="16" customFormat="1" x14ac:dyDescent="0.2">
      <c r="A43" s="15" t="s">
        <v>69</v>
      </c>
      <c r="B43" s="16" t="b">
        <v>0</v>
      </c>
      <c r="C43" s="16" t="b">
        <v>0</v>
      </c>
      <c r="E43" s="18">
        <f>E34*0.5*$K$7*IF(E18=0,0,1)</f>
        <v>197455.44000000003</v>
      </c>
      <c r="F43" s="18">
        <f>(SUM($E$34:E34)+F34*0.5)*$K$7*IF(F18=0,0,1)</f>
        <v>592366.32000000007</v>
      </c>
      <c r="G43" s="18">
        <f>(SUM($E$34:F34)+G34*0.5)*$K$7*IF(G18=0,0,1)</f>
        <v>888549.4800000001</v>
      </c>
      <c r="H43" s="18">
        <f>(SUM($E$34:G34)+H34*0.5)*$K$7*IF(H18=0,0,1)</f>
        <v>0</v>
      </c>
      <c r="I43" s="18">
        <f>(SUM($E$34:H34)+I34*0.5)*$K$7*IF(I18=0,0,1)</f>
        <v>0</v>
      </c>
      <c r="J43" s="18">
        <f>(SUM($E$34:I34)+J34*0.5)*$K$7*IF(J18=0,0,1)</f>
        <v>0</v>
      </c>
      <c r="K43" s="18">
        <f>(SUM($E$34:J34)+K34*0.5)*$K$7*IF(K18=0,0,1)</f>
        <v>0</v>
      </c>
      <c r="L43" s="18">
        <f>(SUM($E$34:K34)+L34*0.5)*$K$7*IF(L18=0,0,1)</f>
        <v>0</v>
      </c>
      <c r="M43" s="18">
        <f>(SUM($E$34:L34)+M34*0.5)*$K$7*IF(M18=0,0,1)</f>
        <v>0</v>
      </c>
      <c r="N43" s="18">
        <f>(SUM($E$34:M34)+N34*0.5)*$K$7*IF(N18=0,0,1)</f>
        <v>0</v>
      </c>
      <c r="O43" s="18">
        <f>(SUM($E$34:N34)+O34*0.5)*$K$7*IF(O18=0,0,1)</f>
        <v>0</v>
      </c>
      <c r="P43" s="18">
        <f>(SUM($E$34:O34)+P34*0.5)*$K$7*IF(P18=0,0,1)</f>
        <v>0</v>
      </c>
      <c r="Q43" s="18">
        <f>(SUM($E$34:P34)+Q34*0.5)*$K$7*IF(Q18=0,0,1)</f>
        <v>0</v>
      </c>
      <c r="R43" s="18">
        <f>(SUM($E$34:Q34)+R34*0.5)*$K$7*IF(R18=0,0,1)</f>
        <v>0</v>
      </c>
      <c r="S43" s="18">
        <f>(SUM($E$34:R34)+S34*0.5)*$K$7*IF(S18=0,0,1)</f>
        <v>0</v>
      </c>
      <c r="T43" s="18">
        <f>(SUM($E$34:S34)+T34*0.5)*$K$7*IF(T18=0,0,1)</f>
        <v>0</v>
      </c>
      <c r="U43" s="18">
        <f>(SUM($E$34:T34)+U34*0.5)*$K$7*IF(U18=0,0,1)</f>
        <v>0</v>
      </c>
      <c r="V43" s="18">
        <f>(SUM($E$34:U34)+V34*0.5)*$K$7*IF(V18=0,0,1)</f>
        <v>0</v>
      </c>
      <c r="W43" s="18">
        <f>(SUM($E$34:V34)+W34*0.5)*$K$7*IF(W18=0,0,1)</f>
        <v>0</v>
      </c>
      <c r="X43" s="18">
        <f>(SUM($E$34:W34)+X34*0.5)*$K$7*IF(X18=0,0,1)</f>
        <v>0</v>
      </c>
      <c r="Y43" s="18">
        <f>(SUM($E$34:X34)+Y34*0.5)*$K$7*IF(Y18=0,0,1)</f>
        <v>0</v>
      </c>
      <c r="Z43" s="18">
        <f>(SUM($E$34:Y34)+Z34*0.5)*$K$7*IF(Z18=0,0,1)</f>
        <v>0</v>
      </c>
      <c r="AA43" s="18">
        <f>(SUM($E$34:Z34)+AA34*0.5)*$K$7*IF(AA18=0,0,1)</f>
        <v>0</v>
      </c>
      <c r="AB43" s="18">
        <f>(SUM($E$34:AA34)+AB34*0.5)*$K$7*IF(AB18=0,0,1)</f>
        <v>0</v>
      </c>
      <c r="AC43" s="18">
        <f>(SUM($E$34:AB34)+AC34*0.5)*$K$7*IF(AC18=0,0,1)</f>
        <v>0</v>
      </c>
      <c r="AD43" s="18">
        <f>(SUM($E$34:AC34)+AD34*0.5)*$K$7*IF(AD18=0,0,1)</f>
        <v>0</v>
      </c>
      <c r="AE43" s="18">
        <f>(SUM($E$34:AD34)+AE34*0.5)*$K$7*IF(AE18=0,0,1)</f>
        <v>0</v>
      </c>
      <c r="AF43" s="18">
        <f>(SUM($E$34:AE34)+AF34*0.5)*$K$7*IF(AF18=0,0,1)</f>
        <v>0</v>
      </c>
      <c r="AG43" s="18">
        <f>(SUM($E$34:AF34)+AG34*0.5)*$K$7*IF(AG18=0,0,1)</f>
        <v>0</v>
      </c>
      <c r="AH43" s="18">
        <f>(SUM($E$34:AG34)+AH34*0.5)*$K$7*IF(AH18=0,0,1)</f>
        <v>0</v>
      </c>
      <c r="AI43" s="18">
        <f>(SUM($E$34:AH34)+AI34*0.5)*$K$7*IF(AI18=0,0,1)</f>
        <v>0</v>
      </c>
      <c r="AJ43" s="18">
        <f>(SUM($E$34:AI34)+AJ34*0.5)*$K$7*IF(AJ18=0,0,1)</f>
        <v>0</v>
      </c>
      <c r="AK43" s="18">
        <f>(SUM($E$34:AJ34)+AK34*0.5)*$K$7*IF(AK18=0,0,1)</f>
        <v>0</v>
      </c>
      <c r="AL43" s="18">
        <f>(SUM($E$34:AK34)+AL34*0.5)*$K$7*IF(AL18=0,0,1)</f>
        <v>0</v>
      </c>
    </row>
    <row r="44" spans="1:38" x14ac:dyDescent="0.2">
      <c r="A44" t="s">
        <v>70</v>
      </c>
      <c r="B44" t="s">
        <v>50</v>
      </c>
      <c r="C44" t="b">
        <v>0</v>
      </c>
      <c r="D44" s="10">
        <f>E44+NPV($K$5,F44:AK44)</f>
        <v>-16764969.711538458</v>
      </c>
      <c r="E44" s="9">
        <f t="shared" ref="E44:AL44" si="17">-IF(E19=ROUNDUP($B$14,0),SUM($E$34:$AL$34,$E$43:$AL$43),0)</f>
        <v>0</v>
      </c>
      <c r="F44" s="9">
        <f t="shared" si="17"/>
        <v>0</v>
      </c>
      <c r="G44" s="9">
        <f t="shared" si="17"/>
        <v>-18132991.239999998</v>
      </c>
      <c r="H44" s="9">
        <f t="shared" si="17"/>
        <v>0</v>
      </c>
      <c r="I44" s="9">
        <f t="shared" si="17"/>
        <v>0</v>
      </c>
      <c r="J44" s="9">
        <f t="shared" si="17"/>
        <v>0</v>
      </c>
      <c r="K44" s="9">
        <f t="shared" si="17"/>
        <v>0</v>
      </c>
      <c r="L44" s="9">
        <f t="shared" si="17"/>
        <v>0</v>
      </c>
      <c r="M44" s="9">
        <f t="shared" si="17"/>
        <v>0</v>
      </c>
      <c r="N44" s="9">
        <f t="shared" si="17"/>
        <v>0</v>
      </c>
      <c r="O44" s="9">
        <f t="shared" si="17"/>
        <v>0</v>
      </c>
      <c r="P44" s="9">
        <f t="shared" si="17"/>
        <v>0</v>
      </c>
      <c r="Q44" s="9">
        <f t="shared" si="17"/>
        <v>0</v>
      </c>
      <c r="R44" s="9">
        <f t="shared" si="17"/>
        <v>0</v>
      </c>
      <c r="S44" s="9">
        <f t="shared" si="17"/>
        <v>0</v>
      </c>
      <c r="T44" s="9">
        <f t="shared" si="17"/>
        <v>0</v>
      </c>
      <c r="U44" s="9">
        <f t="shared" si="17"/>
        <v>0</v>
      </c>
      <c r="V44" s="9">
        <f t="shared" si="17"/>
        <v>0</v>
      </c>
      <c r="W44" s="9">
        <f t="shared" si="17"/>
        <v>0</v>
      </c>
      <c r="X44" s="9">
        <f t="shared" si="17"/>
        <v>0</v>
      </c>
      <c r="Y44" s="9">
        <f t="shared" si="17"/>
        <v>0</v>
      </c>
      <c r="Z44" s="9">
        <f t="shared" si="17"/>
        <v>0</v>
      </c>
      <c r="AA44" s="9">
        <f t="shared" si="17"/>
        <v>0</v>
      </c>
      <c r="AB44" s="9">
        <f t="shared" si="17"/>
        <v>0</v>
      </c>
      <c r="AC44" s="9">
        <f t="shared" si="17"/>
        <v>0</v>
      </c>
      <c r="AD44" s="9">
        <f t="shared" si="17"/>
        <v>0</v>
      </c>
      <c r="AE44" s="9">
        <f t="shared" si="17"/>
        <v>0</v>
      </c>
      <c r="AF44" s="9">
        <f t="shared" si="17"/>
        <v>0</v>
      </c>
      <c r="AG44" s="9">
        <f t="shared" si="17"/>
        <v>0</v>
      </c>
      <c r="AH44" s="9">
        <f t="shared" si="17"/>
        <v>0</v>
      </c>
      <c r="AI44" s="9">
        <f t="shared" si="17"/>
        <v>0</v>
      </c>
      <c r="AJ44" s="9">
        <f t="shared" si="17"/>
        <v>0</v>
      </c>
      <c r="AK44" s="9">
        <f t="shared" si="17"/>
        <v>0</v>
      </c>
      <c r="AL44" s="9">
        <f t="shared" si="17"/>
        <v>0</v>
      </c>
    </row>
    <row r="45" spans="1:38" x14ac:dyDescent="0.2">
      <c r="A45" t="s">
        <v>71</v>
      </c>
      <c r="B45" t="s">
        <v>52</v>
      </c>
      <c r="C45" t="b">
        <v>0</v>
      </c>
      <c r="D45" s="10">
        <f>E45+NPV($K$5,F45:AK45)</f>
        <v>-4421586.3916848265</v>
      </c>
      <c r="E45" s="9">
        <f>IF(E$19&gt;ROUNDUP($B$14,0),IF(E46&lt;&gt;-0.01,PPMT($K$5,E$19-ROUNDUP($B$14,0),$K$6,$N$12),0.01),0)</f>
        <v>0</v>
      </c>
      <c r="F45" s="9">
        <f t="shared" ref="F45:AL45" si="18">IF(F19&gt;ROUNDUP($B$14,0),IF(F46&lt;&gt;-0.01,PPMT($K$5,F$19-ROUNDUP($B$14,0),$K$6,$N$12),0.01),0)</f>
        <v>0</v>
      </c>
      <c r="G45" s="9">
        <f t="shared" si="18"/>
        <v>0</v>
      </c>
      <c r="H45" s="9">
        <f t="shared" si="18"/>
        <v>-198947.33489054718</v>
      </c>
      <c r="I45" s="9">
        <f t="shared" si="18"/>
        <v>-206905.22828616903</v>
      </c>
      <c r="J45" s="9">
        <f t="shared" si="18"/>
        <v>-215181.43741761582</v>
      </c>
      <c r="K45" s="9">
        <f t="shared" si="18"/>
        <v>-223788.69491432043</v>
      </c>
      <c r="L45" s="9">
        <f t="shared" si="18"/>
        <v>-232740.24271089325</v>
      </c>
      <c r="M45" s="9">
        <f t="shared" si="18"/>
        <v>-242049.85241932899</v>
      </c>
      <c r="N45" s="9">
        <f t="shared" si="18"/>
        <v>-251731.84651610214</v>
      </c>
      <c r="O45" s="9">
        <f t="shared" si="18"/>
        <v>-261801.1203767462</v>
      </c>
      <c r="P45" s="9">
        <f t="shared" si="18"/>
        <v>-272273.16519181605</v>
      </c>
      <c r="Q45" s="9">
        <f t="shared" si="18"/>
        <v>-283164.0917994887</v>
      </c>
      <c r="R45" s="9">
        <f t="shared" si="18"/>
        <v>-294490.65547146829</v>
      </c>
      <c r="S45" s="9">
        <f t="shared" si="18"/>
        <v>-306270.28169032698</v>
      </c>
      <c r="T45" s="9">
        <f t="shared" si="18"/>
        <v>-318521.09295794001</v>
      </c>
      <c r="U45" s="9">
        <f t="shared" si="18"/>
        <v>-331261.9366762577</v>
      </c>
      <c r="V45" s="9">
        <f t="shared" si="18"/>
        <v>-344512.41414330795</v>
      </c>
      <c r="W45" s="9">
        <f t="shared" si="18"/>
        <v>-358292.9107090403</v>
      </c>
      <c r="X45" s="9">
        <f t="shared" si="18"/>
        <v>-372624.62713740196</v>
      </c>
      <c r="Y45" s="9">
        <f t="shared" si="18"/>
        <v>-387529.61222289794</v>
      </c>
      <c r="Z45" s="9">
        <f t="shared" si="18"/>
        <v>-403030.79671181389</v>
      </c>
      <c r="AA45" s="9">
        <f t="shared" si="18"/>
        <v>-419152.02858028642</v>
      </c>
      <c r="AB45" s="9">
        <f t="shared" si="18"/>
        <v>-435918.10972349794</v>
      </c>
      <c r="AC45" s="9">
        <f t="shared" si="18"/>
        <v>-453354.83411243785</v>
      </c>
      <c r="AD45" s="9">
        <f t="shared" si="18"/>
        <v>-471489.0274769353</v>
      </c>
      <c r="AE45" s="9">
        <f t="shared" si="18"/>
        <v>-490348.58857601276</v>
      </c>
      <c r="AF45" s="9">
        <f t="shared" si="18"/>
        <v>-509962.5321190533</v>
      </c>
      <c r="AG45" s="9">
        <f t="shared" si="18"/>
        <v>0.01</v>
      </c>
      <c r="AH45" s="9">
        <f t="shared" si="18"/>
        <v>0.01</v>
      </c>
      <c r="AI45" s="9">
        <f t="shared" si="18"/>
        <v>0.01</v>
      </c>
      <c r="AJ45" s="9">
        <f t="shared" si="18"/>
        <v>0.01</v>
      </c>
      <c r="AK45" s="9">
        <f t="shared" si="18"/>
        <v>0.01</v>
      </c>
      <c r="AL45" s="9">
        <f t="shared" si="18"/>
        <v>0.01</v>
      </c>
    </row>
    <row r="46" spans="1:38" x14ac:dyDescent="0.2">
      <c r="A46" t="s">
        <v>72</v>
      </c>
      <c r="B46" t="s">
        <v>52</v>
      </c>
      <c r="C46" t="b">
        <v>0</v>
      </c>
      <c r="D46" s="10">
        <f>E46+NPV($K$5,F46:AK46)</f>
        <v>-3238678.4593060217</v>
      </c>
      <c r="E46" s="9">
        <f>IF(E$19&gt;ROUNDUP($B$14,0),IFERROR(IPMT($K$5,E$19-ROUNDUP($B$14,0),$K$6,$N$12),-0.01),0)</f>
        <v>0</v>
      </c>
      <c r="F46" s="9">
        <f t="shared" ref="F46:AL46" si="19">IF(F$19&gt;ROUNDUP($B$14,0),IFERROR(IPMT($K$5,F$19-ROUNDUP($B$14,0),$K$6,$N$12),-0.01),0)</f>
        <v>0</v>
      </c>
      <c r="G46" s="9">
        <f t="shared" si="19"/>
        <v>0</v>
      </c>
      <c r="H46" s="9">
        <f t="shared" si="19"/>
        <v>-331413.69851326832</v>
      </c>
      <c r="I46" s="9">
        <f t="shared" si="19"/>
        <v>-323455.80511764629</v>
      </c>
      <c r="J46" s="9">
        <f t="shared" si="19"/>
        <v>-315179.59598619962</v>
      </c>
      <c r="K46" s="9">
        <f t="shared" si="19"/>
        <v>-306572.33848949498</v>
      </c>
      <c r="L46" s="9">
        <f t="shared" si="19"/>
        <v>-297620.79069292219</v>
      </c>
      <c r="M46" s="9">
        <f t="shared" si="19"/>
        <v>-288311.18098448642</v>
      </c>
      <c r="N46" s="9">
        <f t="shared" si="19"/>
        <v>-278629.18688771327</v>
      </c>
      <c r="O46" s="9">
        <f t="shared" si="19"/>
        <v>-268559.91302706918</v>
      </c>
      <c r="P46" s="9">
        <f t="shared" si="19"/>
        <v>-258087.86821199933</v>
      </c>
      <c r="Q46" s="9">
        <f t="shared" si="19"/>
        <v>-247196.94160432671</v>
      </c>
      <c r="R46" s="9">
        <f t="shared" si="19"/>
        <v>-235870.37793234718</v>
      </c>
      <c r="S46" s="9">
        <f t="shared" si="19"/>
        <v>-224090.7517134884</v>
      </c>
      <c r="T46" s="9">
        <f t="shared" si="19"/>
        <v>-211839.94044587537</v>
      </c>
      <c r="U46" s="9">
        <f t="shared" si="19"/>
        <v>-199099.09672755774</v>
      </c>
      <c r="V46" s="9">
        <f t="shared" si="19"/>
        <v>-185848.6192605074</v>
      </c>
      <c r="W46" s="9">
        <f t="shared" si="19"/>
        <v>-172068.12269477508</v>
      </c>
      <c r="X46" s="9">
        <f t="shared" si="19"/>
        <v>-157736.40626641348</v>
      </c>
      <c r="Y46" s="9">
        <f t="shared" si="19"/>
        <v>-142831.42118091742</v>
      </c>
      <c r="Z46" s="9">
        <f t="shared" si="19"/>
        <v>-127330.23669200149</v>
      </c>
      <c r="AA46" s="9">
        <f t="shared" si="19"/>
        <v>-111209.00482352894</v>
      </c>
      <c r="AB46" s="9">
        <f t="shared" si="19"/>
        <v>-94442.923680317472</v>
      </c>
      <c r="AC46" s="9">
        <f t="shared" si="19"/>
        <v>-77006.199291377576</v>
      </c>
      <c r="AD46" s="9">
        <f t="shared" si="19"/>
        <v>-58872.005926880054</v>
      </c>
      <c r="AE46" s="9">
        <f t="shared" si="19"/>
        <v>-40012.444827802639</v>
      </c>
      <c r="AF46" s="9">
        <f t="shared" si="19"/>
        <v>-20398.501284762133</v>
      </c>
      <c r="AG46" s="9">
        <f t="shared" si="19"/>
        <v>-0.01</v>
      </c>
      <c r="AH46" s="9">
        <f t="shared" si="19"/>
        <v>-0.01</v>
      </c>
      <c r="AI46" s="9">
        <f t="shared" si="19"/>
        <v>-0.01</v>
      </c>
      <c r="AJ46" s="9">
        <f t="shared" si="19"/>
        <v>-0.01</v>
      </c>
      <c r="AK46" s="9">
        <f t="shared" si="19"/>
        <v>-0.01</v>
      </c>
      <c r="AL46" s="9">
        <f t="shared" si="19"/>
        <v>-0.01</v>
      </c>
    </row>
    <row r="47" spans="1:38" x14ac:dyDescent="0.2">
      <c r="A47" t="s">
        <v>73</v>
      </c>
      <c r="B47" t="s">
        <v>52</v>
      </c>
      <c r="C47" t="b">
        <v>0</v>
      </c>
      <c r="D47" s="10">
        <f>E47+NPV($K$5,F47:AK47)</f>
        <v>-1837897.5773913972</v>
      </c>
      <c r="E47" s="9">
        <f>IF(E$19&gt;ROUNDUP($B$14,0),IF(E48&lt;&gt;-0.01,PPMT($H$5,E$19-ROUNDUP($B$14,0),$H$6,$H$12*(1-$H$7)),0.01),0)</f>
        <v>0</v>
      </c>
      <c r="F47" s="9">
        <f t="shared" ref="F47:AL47" si="20">IF(F$19&gt;ROUNDUP($B$14,0),IF(F48&lt;&gt;-0.01,PPMT($H$5,F$19-ROUNDUP($B$14,0),$H$6,$H$12*(1-$H$7)),0.01),0)</f>
        <v>0</v>
      </c>
      <c r="G47" s="9">
        <f t="shared" si="20"/>
        <v>0</v>
      </c>
      <c r="H47" s="9">
        <f t="shared" si="20"/>
        <v>-102040.95041752132</v>
      </c>
      <c r="I47" s="9">
        <f t="shared" si="20"/>
        <v>-103061.35992169652</v>
      </c>
      <c r="J47" s="9">
        <f t="shared" si="20"/>
        <v>-104091.9735209135</v>
      </c>
      <c r="K47" s="9">
        <f t="shared" si="20"/>
        <v>-105132.89325612264</v>
      </c>
      <c r="L47" s="9">
        <f t="shared" si="20"/>
        <v>-106184.22218868387</v>
      </c>
      <c r="M47" s="9">
        <f t="shared" si="20"/>
        <v>-107246.06441057069</v>
      </c>
      <c r="N47" s="9">
        <f t="shared" si="20"/>
        <v>-108318.5250546764</v>
      </c>
      <c r="O47" s="9">
        <f t="shared" si="20"/>
        <v>-109401.71030522317</v>
      </c>
      <c r="P47" s="9">
        <f t="shared" si="20"/>
        <v>-110495.72740827539</v>
      </c>
      <c r="Q47" s="9">
        <f t="shared" si="20"/>
        <v>-111600.68468235816</v>
      </c>
      <c r="R47" s="9">
        <f t="shared" si="20"/>
        <v>-112716.69152918173</v>
      </c>
      <c r="S47" s="9">
        <f t="shared" si="20"/>
        <v>-113843.85844447355</v>
      </c>
      <c r="T47" s="9">
        <f t="shared" si="20"/>
        <v>-114982.29702891827</v>
      </c>
      <c r="U47" s="9">
        <f t="shared" si="20"/>
        <v>-116132.11999920747</v>
      </c>
      <c r="V47" s="9">
        <f t="shared" si="20"/>
        <v>-117293.44119919954</v>
      </c>
      <c r="W47" s="9">
        <f t="shared" si="20"/>
        <v>-118466.37561119154</v>
      </c>
      <c r="X47" s="9">
        <f t="shared" si="20"/>
        <v>-119651.03936730344</v>
      </c>
      <c r="Y47" s="9">
        <f t="shared" si="20"/>
        <v>-120847.54976097649</v>
      </c>
      <c r="Z47" s="9">
        <f t="shared" si="20"/>
        <v>-122056.02525858626</v>
      </c>
      <c r="AA47" s="9">
        <f t="shared" si="20"/>
        <v>-123276.58551117212</v>
      </c>
      <c r="AB47" s="9">
        <f t="shared" si="20"/>
        <v>-124509.35136628382</v>
      </c>
      <c r="AC47" s="9">
        <f t="shared" si="20"/>
        <v>-125754.44487994668</v>
      </c>
      <c r="AD47" s="9">
        <f t="shared" si="20"/>
        <v>-127011.98932874615</v>
      </c>
      <c r="AE47" s="9">
        <f t="shared" si="20"/>
        <v>-128282.1092220336</v>
      </c>
      <c r="AF47" s="9">
        <f t="shared" si="20"/>
        <v>-129564.93031425394</v>
      </c>
      <c r="AG47" s="9">
        <f t="shared" si="20"/>
        <v>-130860.57961739648</v>
      </c>
      <c r="AH47" s="9">
        <f t="shared" si="20"/>
        <v>-132169.18541357043</v>
      </c>
      <c r="AI47" s="9">
        <f t="shared" si="20"/>
        <v>-133490.87726770615</v>
      </c>
      <c r="AJ47" s="9">
        <f t="shared" si="20"/>
        <v>-134825.78604038322</v>
      </c>
      <c r="AK47" s="9">
        <f t="shared" si="20"/>
        <v>-136174.04390078704</v>
      </c>
      <c r="AL47" s="9">
        <f t="shared" si="20"/>
        <v>-137535.78433979492</v>
      </c>
    </row>
    <row r="48" spans="1:38" x14ac:dyDescent="0.2">
      <c r="A48" t="s">
        <v>74</v>
      </c>
      <c r="B48" t="s">
        <v>52</v>
      </c>
      <c r="C48" t="b">
        <v>0</v>
      </c>
      <c r="D48" s="10">
        <f>E48+NPV($K$5,F48:AK48)</f>
        <v>-590997.92636745388</v>
      </c>
      <c r="E48" s="9">
        <f>IF(E$19&gt;ROUNDUP($B$14,0),IFERROR(IPMT($H$5,E$19-ROUNDUP($B$14,0),$H$6,$H$12*(1-$H$7)),-0.01),0)</f>
        <v>0</v>
      </c>
      <c r="F48" s="9">
        <f t="shared" ref="F48:AL48" si="21">IF(F$19&gt;ROUNDUP($B$14,0),IFERROR(IPMT($H$5,F$19-ROUNDUP($B$14,0),$H$6,$H$12*(1-$H$7)),-0.01),0)</f>
        <v>0</v>
      </c>
      <c r="G48" s="9">
        <f t="shared" si="21"/>
        <v>0</v>
      </c>
      <c r="H48" s="9">
        <f t="shared" si="21"/>
        <v>-49884.12</v>
      </c>
      <c r="I48" s="9">
        <f t="shared" si="21"/>
        <v>-48863.710495824795</v>
      </c>
      <c r="J48" s="9">
        <f t="shared" si="21"/>
        <v>-47833.096896607829</v>
      </c>
      <c r="K48" s="9">
        <f t="shared" si="21"/>
        <v>-46792.1771613987</v>
      </c>
      <c r="L48" s="9">
        <f t="shared" si="21"/>
        <v>-45740.848228837465</v>
      </c>
      <c r="M48" s="9">
        <f t="shared" si="21"/>
        <v>-44679.006006950622</v>
      </c>
      <c r="N48" s="9">
        <f t="shared" si="21"/>
        <v>-43606.545362844925</v>
      </c>
      <c r="O48" s="9">
        <f t="shared" si="21"/>
        <v>-42523.360112298156</v>
      </c>
      <c r="P48" s="9">
        <f t="shared" si="21"/>
        <v>-41429.343009245924</v>
      </c>
      <c r="Q48" s="9">
        <f t="shared" si="21"/>
        <v>-40324.385735163174</v>
      </c>
      <c r="R48" s="9">
        <f t="shared" si="21"/>
        <v>-39208.378888339583</v>
      </c>
      <c r="S48" s="9">
        <f t="shared" si="21"/>
        <v>-38081.211973047772</v>
      </c>
      <c r="T48" s="9">
        <f t="shared" si="21"/>
        <v>-36942.77338860304</v>
      </c>
      <c r="U48" s="9">
        <f t="shared" si="21"/>
        <v>-35792.950418313849</v>
      </c>
      <c r="V48" s="9">
        <f t="shared" si="21"/>
        <v>-34631.629218321781</v>
      </c>
      <c r="W48" s="9">
        <f t="shared" si="21"/>
        <v>-33458.694806329782</v>
      </c>
      <c r="X48" s="9">
        <f t="shared" si="21"/>
        <v>-32274.031050217865</v>
      </c>
      <c r="Y48" s="9">
        <f t="shared" si="21"/>
        <v>-31077.520656544828</v>
      </c>
      <c r="Z48" s="9">
        <f t="shared" si="21"/>
        <v>-29869.045158935074</v>
      </c>
      <c r="AA48" s="9">
        <f t="shared" si="21"/>
        <v>-28648.484906349207</v>
      </c>
      <c r="AB48" s="9">
        <f t="shared" si="21"/>
        <v>-27415.719051237484</v>
      </c>
      <c r="AC48" s="9">
        <f t="shared" si="21"/>
        <v>-26170.625537574644</v>
      </c>
      <c r="AD48" s="9">
        <f t="shared" si="21"/>
        <v>-24913.081088775172</v>
      </c>
      <c r="AE48" s="9">
        <f t="shared" si="21"/>
        <v>-23642.961195487715</v>
      </c>
      <c r="AF48" s="9">
        <f t="shared" si="21"/>
        <v>-22360.140103267382</v>
      </c>
      <c r="AG48" s="9">
        <f t="shared" si="21"/>
        <v>-21064.490800124837</v>
      </c>
      <c r="AH48" s="9">
        <f t="shared" si="21"/>
        <v>-19755.885003950872</v>
      </c>
      <c r="AI48" s="9">
        <f t="shared" si="21"/>
        <v>-18434.193149815168</v>
      </c>
      <c r="AJ48" s="9">
        <f t="shared" si="21"/>
        <v>-17099.284377138109</v>
      </c>
      <c r="AK48" s="9">
        <f t="shared" si="21"/>
        <v>-15751.026516734275</v>
      </c>
      <c r="AL48" s="9">
        <f t="shared" si="21"/>
        <v>-14389.286077726405</v>
      </c>
    </row>
    <row r="50" spans="1:38" x14ac:dyDescent="0.2">
      <c r="A50" s="8" t="s">
        <v>75</v>
      </c>
    </row>
    <row r="51" spans="1:38" s="16" customFormat="1" x14ac:dyDescent="0.2">
      <c r="A51" s="16" t="s">
        <v>76</v>
      </c>
      <c r="C51" s="16" t="b">
        <v>0</v>
      </c>
      <c r="D51" s="19">
        <f t="shared" ref="D51:D52" si="22">E51+NPV($K$5,F51:AK51)</f>
        <v>2165678.5017096777</v>
      </c>
      <c r="E51" s="18">
        <v>0</v>
      </c>
      <c r="F51" s="18">
        <f>-E24-E40</f>
        <v>1230752.0650406505</v>
      </c>
      <c r="G51" s="18">
        <f>-F24-F40</f>
        <v>1230752.0650406505</v>
      </c>
      <c r="H51" s="18">
        <f t="shared" ref="H51:AL51" si="23">-G24-G40</f>
        <v>-175069.79904308962</v>
      </c>
      <c r="I51" s="18">
        <f t="shared" si="23"/>
        <v>0</v>
      </c>
      <c r="J51" s="18">
        <f t="shared" si="23"/>
        <v>0</v>
      </c>
      <c r="K51" s="18">
        <f t="shared" si="23"/>
        <v>0</v>
      </c>
      <c r="L51" s="18">
        <f t="shared" si="23"/>
        <v>0</v>
      </c>
      <c r="M51" s="18">
        <f t="shared" si="23"/>
        <v>0</v>
      </c>
      <c r="N51" s="18">
        <f t="shared" si="23"/>
        <v>0</v>
      </c>
      <c r="O51" s="18">
        <f t="shared" si="23"/>
        <v>0</v>
      </c>
      <c r="P51" s="18">
        <f t="shared" si="23"/>
        <v>0</v>
      </c>
      <c r="Q51" s="18">
        <f t="shared" si="23"/>
        <v>0</v>
      </c>
      <c r="R51" s="18">
        <f t="shared" si="23"/>
        <v>0</v>
      </c>
      <c r="S51" s="18">
        <f t="shared" si="23"/>
        <v>0</v>
      </c>
      <c r="T51" s="18">
        <f t="shared" si="23"/>
        <v>0</v>
      </c>
      <c r="U51" s="18">
        <f t="shared" si="23"/>
        <v>0</v>
      </c>
      <c r="V51" s="18">
        <f t="shared" si="23"/>
        <v>0</v>
      </c>
      <c r="W51" s="18">
        <f t="shared" si="23"/>
        <v>0</v>
      </c>
      <c r="X51" s="18">
        <f t="shared" si="23"/>
        <v>0</v>
      </c>
      <c r="Y51" s="18">
        <f t="shared" si="23"/>
        <v>0</v>
      </c>
      <c r="Z51" s="18">
        <f t="shared" si="23"/>
        <v>0</v>
      </c>
      <c r="AA51" s="18">
        <f t="shared" si="23"/>
        <v>0</v>
      </c>
      <c r="AB51" s="18">
        <f t="shared" si="23"/>
        <v>0</v>
      </c>
      <c r="AC51" s="18">
        <f t="shared" si="23"/>
        <v>0</v>
      </c>
      <c r="AD51" s="18">
        <f t="shared" si="23"/>
        <v>0</v>
      </c>
      <c r="AE51" s="18">
        <f t="shared" si="23"/>
        <v>0</v>
      </c>
      <c r="AF51" s="18">
        <f t="shared" si="23"/>
        <v>0</v>
      </c>
      <c r="AG51" s="18">
        <f t="shared" si="23"/>
        <v>0</v>
      </c>
      <c r="AH51" s="18">
        <f t="shared" si="23"/>
        <v>0</v>
      </c>
      <c r="AI51" s="18">
        <f t="shared" si="23"/>
        <v>0</v>
      </c>
      <c r="AJ51" s="18">
        <f t="shared" si="23"/>
        <v>0</v>
      </c>
      <c r="AK51" s="18">
        <f t="shared" si="23"/>
        <v>0</v>
      </c>
      <c r="AL51" s="18">
        <f t="shared" si="23"/>
        <v>0</v>
      </c>
    </row>
    <row r="52" spans="1:38" x14ac:dyDescent="0.2">
      <c r="A52" t="s">
        <v>77</v>
      </c>
      <c r="B52" t="s">
        <v>50</v>
      </c>
      <c r="C52" t="b">
        <v>0</v>
      </c>
      <c r="D52" s="12">
        <f t="shared" si="22"/>
        <v>17512722.198854376</v>
      </c>
      <c r="E52" s="11">
        <f t="shared" ref="E52:AL52" si="24">SUMIFS(E$21:E$40,$B$21:$B$40,$B52)+E51</f>
        <v>0</v>
      </c>
      <c r="F52" s="11">
        <f t="shared" si="24"/>
        <v>1230752.0650406505</v>
      </c>
      <c r="G52" s="11">
        <f t="shared" si="24"/>
        <v>17830114.527872358</v>
      </c>
      <c r="H52" s="11">
        <f t="shared" si="24"/>
        <v>-175069.79904308962</v>
      </c>
      <c r="I52" s="11">
        <f t="shared" si="24"/>
        <v>0</v>
      </c>
      <c r="J52" s="11">
        <f t="shared" si="24"/>
        <v>0</v>
      </c>
      <c r="K52" s="11">
        <f t="shared" si="24"/>
        <v>0</v>
      </c>
      <c r="L52" s="11">
        <f t="shared" si="24"/>
        <v>0</v>
      </c>
      <c r="M52" s="11">
        <f t="shared" si="24"/>
        <v>0</v>
      </c>
      <c r="N52" s="11">
        <f t="shared" si="24"/>
        <v>0</v>
      </c>
      <c r="O52" s="11">
        <f t="shared" si="24"/>
        <v>0</v>
      </c>
      <c r="P52" s="11">
        <f t="shared" si="24"/>
        <v>0</v>
      </c>
      <c r="Q52" s="11">
        <f t="shared" si="24"/>
        <v>0</v>
      </c>
      <c r="R52" s="11">
        <f t="shared" si="24"/>
        <v>0</v>
      </c>
      <c r="S52" s="11">
        <f t="shared" si="24"/>
        <v>0</v>
      </c>
      <c r="T52" s="11">
        <f t="shared" si="24"/>
        <v>0</v>
      </c>
      <c r="U52" s="11">
        <f t="shared" si="24"/>
        <v>0</v>
      </c>
      <c r="V52" s="11">
        <f t="shared" si="24"/>
        <v>0</v>
      </c>
      <c r="W52" s="11">
        <f t="shared" si="24"/>
        <v>0</v>
      </c>
      <c r="X52" s="11">
        <f t="shared" si="24"/>
        <v>0</v>
      </c>
      <c r="Y52" s="11">
        <f t="shared" si="24"/>
        <v>0</v>
      </c>
      <c r="Z52" s="11">
        <f t="shared" si="24"/>
        <v>0</v>
      </c>
      <c r="AA52" s="11">
        <f t="shared" si="24"/>
        <v>0</v>
      </c>
      <c r="AB52" s="11">
        <f t="shared" si="24"/>
        <v>0</v>
      </c>
      <c r="AC52" s="11">
        <f t="shared" si="24"/>
        <v>0</v>
      </c>
      <c r="AD52" s="11">
        <f t="shared" si="24"/>
        <v>0</v>
      </c>
      <c r="AE52" s="11">
        <f t="shared" si="24"/>
        <v>0</v>
      </c>
      <c r="AF52" s="11">
        <f t="shared" si="24"/>
        <v>0</v>
      </c>
      <c r="AG52" s="11">
        <f t="shared" si="24"/>
        <v>0</v>
      </c>
      <c r="AH52" s="11">
        <f t="shared" si="24"/>
        <v>0</v>
      </c>
      <c r="AI52" s="11">
        <f t="shared" si="24"/>
        <v>0</v>
      </c>
      <c r="AJ52" s="11">
        <f t="shared" si="24"/>
        <v>0</v>
      </c>
      <c r="AK52" s="11">
        <f t="shared" si="24"/>
        <v>0</v>
      </c>
      <c r="AL52" s="11">
        <f t="shared" si="24"/>
        <v>0</v>
      </c>
    </row>
    <row r="53" spans="1:38" x14ac:dyDescent="0.2">
      <c r="A53" t="s">
        <v>78</v>
      </c>
      <c r="B53" t="s">
        <v>50</v>
      </c>
      <c r="C53" t="b">
        <v>0</v>
      </c>
      <c r="D53" s="10">
        <f>E53+NPV($K$5,F53:AK53)</f>
        <v>280026.54597599932</v>
      </c>
      <c r="E53" s="24">
        <f t="shared" ref="E53:AL53" si="25">IF(E19=ROUNDUP($B$14,0),-MIN(0,E52+E44),0)</f>
        <v>0</v>
      </c>
      <c r="F53" s="24">
        <f t="shared" si="25"/>
        <v>0</v>
      </c>
      <c r="G53" s="24">
        <f t="shared" si="25"/>
        <v>302876.71212764084</v>
      </c>
      <c r="H53" s="24">
        <f t="shared" si="25"/>
        <v>0</v>
      </c>
      <c r="I53" s="24">
        <f t="shared" si="25"/>
        <v>0</v>
      </c>
      <c r="J53" s="24">
        <f t="shared" si="25"/>
        <v>0</v>
      </c>
      <c r="K53" s="24">
        <f t="shared" si="25"/>
        <v>0</v>
      </c>
      <c r="L53" s="24">
        <f t="shared" si="25"/>
        <v>0</v>
      </c>
      <c r="M53" s="24">
        <f t="shared" si="25"/>
        <v>0</v>
      </c>
      <c r="N53" s="24">
        <f t="shared" si="25"/>
        <v>0</v>
      </c>
      <c r="O53" s="24">
        <f t="shared" si="25"/>
        <v>0</v>
      </c>
      <c r="P53" s="24">
        <f t="shared" si="25"/>
        <v>0</v>
      </c>
      <c r="Q53" s="24">
        <f t="shared" si="25"/>
        <v>0</v>
      </c>
      <c r="R53" s="24">
        <f t="shared" si="25"/>
        <v>0</v>
      </c>
      <c r="S53" s="24">
        <f t="shared" si="25"/>
        <v>0</v>
      </c>
      <c r="T53" s="24">
        <f t="shared" si="25"/>
        <v>0</v>
      </c>
      <c r="U53" s="24">
        <f t="shared" si="25"/>
        <v>0</v>
      </c>
      <c r="V53" s="24">
        <f t="shared" si="25"/>
        <v>0</v>
      </c>
      <c r="W53" s="24">
        <f t="shared" si="25"/>
        <v>0</v>
      </c>
      <c r="X53" s="24">
        <f t="shared" si="25"/>
        <v>0</v>
      </c>
      <c r="Y53" s="24">
        <f t="shared" si="25"/>
        <v>0</v>
      </c>
      <c r="Z53" s="24">
        <f t="shared" si="25"/>
        <v>0</v>
      </c>
      <c r="AA53" s="24">
        <f t="shared" si="25"/>
        <v>0</v>
      </c>
      <c r="AB53" s="24">
        <f t="shared" si="25"/>
        <v>0</v>
      </c>
      <c r="AC53" s="24">
        <f t="shared" si="25"/>
        <v>0</v>
      </c>
      <c r="AD53" s="24">
        <f t="shared" si="25"/>
        <v>0</v>
      </c>
      <c r="AE53" s="24">
        <f t="shared" si="25"/>
        <v>0</v>
      </c>
      <c r="AF53" s="24">
        <f t="shared" si="25"/>
        <v>0</v>
      </c>
      <c r="AG53" s="24">
        <f t="shared" si="25"/>
        <v>0</v>
      </c>
      <c r="AH53" s="24">
        <f t="shared" si="25"/>
        <v>0</v>
      </c>
      <c r="AI53" s="24">
        <f t="shared" si="25"/>
        <v>0</v>
      </c>
      <c r="AJ53" s="24">
        <f t="shared" si="25"/>
        <v>0</v>
      </c>
      <c r="AK53" s="24">
        <f t="shared" si="25"/>
        <v>0</v>
      </c>
      <c r="AL53" s="24">
        <f t="shared" si="25"/>
        <v>0</v>
      </c>
    </row>
    <row r="54" spans="1:38" x14ac:dyDescent="0.2">
      <c r="A54" t="s">
        <v>79</v>
      </c>
      <c r="B54" t="s">
        <v>50</v>
      </c>
      <c r="C54" t="b">
        <v>0</v>
      </c>
      <c r="D54" s="10">
        <f>E54+NPV($K$5,F54:AK54)</f>
        <v>-155658.87516339638</v>
      </c>
      <c r="E54" s="9">
        <f t="shared" ref="E54:AL54" si="26">IF(E$19&gt;ROUNDUP($B$14,0),IF(E55&lt;&gt;-0.01,PPMT($K$7,E$19-ROUNDUP($B$14,0),$K$8,SUM($E$53:$AL$53)),0.01),0)</f>
        <v>0</v>
      </c>
      <c r="F54" s="9">
        <f t="shared" si="26"/>
        <v>0</v>
      </c>
      <c r="G54" s="9">
        <f t="shared" si="26"/>
        <v>0</v>
      </c>
      <c r="H54" s="9">
        <f t="shared" si="26"/>
        <v>-5520.4484850105373</v>
      </c>
      <c r="I54" s="9">
        <f t="shared" si="26"/>
        <v>-5851.6753941111692</v>
      </c>
      <c r="J54" s="9">
        <f t="shared" si="26"/>
        <v>-6202.7759177578382</v>
      </c>
      <c r="K54" s="9">
        <f t="shared" si="26"/>
        <v>-6574.942472823308</v>
      </c>
      <c r="L54" s="9">
        <f t="shared" si="26"/>
        <v>-6969.4390211927066</v>
      </c>
      <c r="M54" s="9">
        <f t="shared" si="26"/>
        <v>-7387.6053624642691</v>
      </c>
      <c r="N54" s="9">
        <f t="shared" si="26"/>
        <v>-7830.8616842121255</v>
      </c>
      <c r="O54" s="9">
        <f t="shared" si="26"/>
        <v>-8300.7133852648531</v>
      </c>
      <c r="P54" s="9">
        <f t="shared" si="26"/>
        <v>-8798.7561883807448</v>
      </c>
      <c r="Q54" s="9">
        <f t="shared" si="26"/>
        <v>-9326.6815596835877</v>
      </c>
      <c r="R54" s="9">
        <f t="shared" si="26"/>
        <v>-9886.2824532646046</v>
      </c>
      <c r="S54" s="9">
        <f t="shared" si="26"/>
        <v>-10479.459400460481</v>
      </c>
      <c r="T54" s="9">
        <f t="shared" si="26"/>
        <v>-11108.226964488109</v>
      </c>
      <c r="U54" s="9">
        <f t="shared" si="26"/>
        <v>-11774.720582357397</v>
      </c>
      <c r="V54" s="9">
        <f t="shared" si="26"/>
        <v>-12481.20381729884</v>
      </c>
      <c r="W54" s="9">
        <f t="shared" si="26"/>
        <v>-13230.076046336768</v>
      </c>
      <c r="X54" s="9">
        <f t="shared" si="26"/>
        <v>-14023.880609116975</v>
      </c>
      <c r="Y54" s="9">
        <f t="shared" si="26"/>
        <v>-14865.313445663995</v>
      </c>
      <c r="Z54" s="9">
        <f t="shared" si="26"/>
        <v>-15757.232252403834</v>
      </c>
      <c r="AA54" s="9">
        <f t="shared" si="26"/>
        <v>-16702.666187548064</v>
      </c>
      <c r="AB54" s="9">
        <f t="shared" si="26"/>
        <v>-17704.826158800945</v>
      </c>
      <c r="AC54" s="9">
        <f t="shared" si="26"/>
        <v>-18767.115728329005</v>
      </c>
      <c r="AD54" s="9">
        <f t="shared" si="26"/>
        <v>-19893.142672028745</v>
      </c>
      <c r="AE54" s="9">
        <f t="shared" si="26"/>
        <v>-21086.73123235047</v>
      </c>
      <c r="AF54" s="9">
        <f t="shared" si="26"/>
        <v>-22351.935106291498</v>
      </c>
      <c r="AG54" s="9">
        <f t="shared" si="26"/>
        <v>0.01</v>
      </c>
      <c r="AH54" s="9">
        <f t="shared" si="26"/>
        <v>0.01</v>
      </c>
      <c r="AI54" s="9">
        <f t="shared" si="26"/>
        <v>0.01</v>
      </c>
      <c r="AJ54" s="9">
        <f t="shared" si="26"/>
        <v>0.01</v>
      </c>
      <c r="AK54" s="9">
        <f t="shared" si="26"/>
        <v>0.01</v>
      </c>
      <c r="AL54" s="9">
        <f t="shared" si="26"/>
        <v>0.01</v>
      </c>
    </row>
    <row r="55" spans="1:38" x14ac:dyDescent="0.2">
      <c r="A55" t="s">
        <v>80</v>
      </c>
      <c r="B55" t="s">
        <v>50</v>
      </c>
      <c r="C55" t="b">
        <v>0</v>
      </c>
      <c r="D55" s="10">
        <f>E55+NPV($K$5,F55:AK55)</f>
        <v>-186551.49849907542</v>
      </c>
      <c r="E55" s="9">
        <f t="shared" ref="E55:AL55" si="27">IF(E$19&gt;ROUNDUP($B$14,0),IFERROR(IPMT($K$7,E$19-ROUNDUP($B$14,0),$K$8,SUM($E$53:$AL$53)),-0.01),0)</f>
        <v>0</v>
      </c>
      <c r="F55" s="9">
        <f t="shared" si="27"/>
        <v>0</v>
      </c>
      <c r="G55" s="9">
        <f t="shared" si="27"/>
        <v>0</v>
      </c>
      <c r="H55" s="9">
        <f t="shared" si="27"/>
        <v>-18172.60272765845</v>
      </c>
      <c r="I55" s="9">
        <f t="shared" si="27"/>
        <v>-17841.375818557819</v>
      </c>
      <c r="J55" s="9">
        <f t="shared" si="27"/>
        <v>-17490.275294911149</v>
      </c>
      <c r="K55" s="9">
        <f t="shared" si="27"/>
        <v>-17118.108739845677</v>
      </c>
      <c r="L55" s="9">
        <f t="shared" si="27"/>
        <v>-16723.612191476277</v>
      </c>
      <c r="M55" s="9">
        <f t="shared" si="27"/>
        <v>-16305.445850204718</v>
      </c>
      <c r="N55" s="9">
        <f t="shared" si="27"/>
        <v>-15862.189528456858</v>
      </c>
      <c r="O55" s="9">
        <f t="shared" si="27"/>
        <v>-15392.337827404133</v>
      </c>
      <c r="P55" s="9">
        <f t="shared" si="27"/>
        <v>-14894.295024288245</v>
      </c>
      <c r="Q55" s="9">
        <f t="shared" si="27"/>
        <v>-14366.369652985397</v>
      </c>
      <c r="R55" s="9">
        <f t="shared" si="27"/>
        <v>-13806.768759404384</v>
      </c>
      <c r="S55" s="9">
        <f t="shared" si="27"/>
        <v>-13213.591812208504</v>
      </c>
      <c r="T55" s="9">
        <f t="shared" si="27"/>
        <v>-12584.824248180879</v>
      </c>
      <c r="U55" s="9">
        <f t="shared" si="27"/>
        <v>-11918.33063031159</v>
      </c>
      <c r="V55" s="9">
        <f t="shared" si="27"/>
        <v>-11211.847395370149</v>
      </c>
      <c r="W55" s="9">
        <f t="shared" si="27"/>
        <v>-10462.975166332217</v>
      </c>
      <c r="X55" s="9">
        <f t="shared" si="27"/>
        <v>-9669.170603552011</v>
      </c>
      <c r="Y55" s="9">
        <f t="shared" si="27"/>
        <v>-8827.7377670049918</v>
      </c>
      <c r="Z55" s="9">
        <f t="shared" si="27"/>
        <v>-7935.8189602651528</v>
      </c>
      <c r="AA55" s="9">
        <f t="shared" si="27"/>
        <v>-6990.3850251209205</v>
      </c>
      <c r="AB55" s="9">
        <f t="shared" si="27"/>
        <v>-5988.22505386804</v>
      </c>
      <c r="AC55" s="9">
        <f t="shared" si="27"/>
        <v>-4925.9354843399833</v>
      </c>
      <c r="AD55" s="9">
        <f t="shared" si="27"/>
        <v>-3799.9085406402414</v>
      </c>
      <c r="AE55" s="9">
        <f t="shared" si="27"/>
        <v>-2606.3199803185175</v>
      </c>
      <c r="AF55" s="9">
        <f t="shared" si="27"/>
        <v>-1341.1161063774896</v>
      </c>
      <c r="AG55" s="9">
        <f t="shared" si="27"/>
        <v>-0.01</v>
      </c>
      <c r="AH55" s="9">
        <f t="shared" si="27"/>
        <v>-0.01</v>
      </c>
      <c r="AI55" s="9">
        <f t="shared" si="27"/>
        <v>-0.01</v>
      </c>
      <c r="AJ55" s="9">
        <f t="shared" si="27"/>
        <v>-0.01</v>
      </c>
      <c r="AK55" s="9">
        <f t="shared" si="27"/>
        <v>-0.01</v>
      </c>
      <c r="AL55" s="9">
        <f t="shared" si="27"/>
        <v>-0.01</v>
      </c>
    </row>
    <row r="57" spans="1:38" x14ac:dyDescent="0.2">
      <c r="A57" s="8" t="s">
        <v>81</v>
      </c>
    </row>
    <row r="58" spans="1:38" s="25" customFormat="1" x14ac:dyDescent="0.2">
      <c r="A58" s="25" t="s">
        <v>82</v>
      </c>
      <c r="B58" s="25" t="s">
        <v>50</v>
      </c>
      <c r="C58" s="25" t="b">
        <v>0</v>
      </c>
      <c r="D58" s="12">
        <f t="shared" ref="D58:D68" si="28">E58+NPV($K$5,F58:AK58)</f>
        <v>685568.65962944436</v>
      </c>
      <c r="E58" s="11">
        <f t="shared" ref="E58:AL58" si="29">SUMIFS(E$52:E$55,$B$52:$B$55,$B$58)+SUMIFS(E$44:E$48,$B$44:$B$48,$B$58)</f>
        <v>0</v>
      </c>
      <c r="F58" s="11">
        <f t="shared" si="29"/>
        <v>1230752.0650406505</v>
      </c>
      <c r="G58" s="11">
        <f t="shared" si="29"/>
        <v>0</v>
      </c>
      <c r="H58" s="11">
        <f t="shared" si="29"/>
        <v>-198762.85025575862</v>
      </c>
      <c r="I58" s="11">
        <f t="shared" si="29"/>
        <v>-23693.051212668986</v>
      </c>
      <c r="J58" s="11">
        <f t="shared" si="29"/>
        <v>-23693.051212668986</v>
      </c>
      <c r="K58" s="11">
        <f t="shared" si="29"/>
        <v>-23693.051212668986</v>
      </c>
      <c r="L58" s="11">
        <f t="shared" si="29"/>
        <v>-23693.051212668983</v>
      </c>
      <c r="M58" s="11">
        <f t="shared" si="29"/>
        <v>-23693.051212668986</v>
      </c>
      <c r="N58" s="11">
        <f t="shared" si="29"/>
        <v>-23693.051212668983</v>
      </c>
      <c r="O58" s="11">
        <f t="shared" si="29"/>
        <v>-23693.051212668986</v>
      </c>
      <c r="P58" s="11">
        <f t="shared" si="29"/>
        <v>-23693.05121266899</v>
      </c>
      <c r="Q58" s="11">
        <f t="shared" si="29"/>
        <v>-23693.051212668986</v>
      </c>
      <c r="R58" s="11">
        <f t="shared" si="29"/>
        <v>-23693.051212668986</v>
      </c>
      <c r="S58" s="11">
        <f t="shared" si="29"/>
        <v>-23693.051212668986</v>
      </c>
      <c r="T58" s="11">
        <f t="shared" si="29"/>
        <v>-23693.051212668986</v>
      </c>
      <c r="U58" s="11">
        <f t="shared" si="29"/>
        <v>-23693.051212668986</v>
      </c>
      <c r="V58" s="11">
        <f t="shared" si="29"/>
        <v>-23693.051212668986</v>
      </c>
      <c r="W58" s="11">
        <f t="shared" si="29"/>
        <v>-23693.051212668986</v>
      </c>
      <c r="X58" s="11">
        <f t="shared" si="29"/>
        <v>-23693.051212668986</v>
      </c>
      <c r="Y58" s="11">
        <f t="shared" si="29"/>
        <v>-23693.051212668986</v>
      </c>
      <c r="Z58" s="11">
        <f t="shared" si="29"/>
        <v>-23693.051212668986</v>
      </c>
      <c r="AA58" s="11">
        <f t="shared" si="29"/>
        <v>-23693.051212668986</v>
      </c>
      <c r="AB58" s="11">
        <f t="shared" si="29"/>
        <v>-23693.051212668986</v>
      </c>
      <c r="AC58" s="11">
        <f t="shared" si="29"/>
        <v>-23693.051212668986</v>
      </c>
      <c r="AD58" s="11">
        <f t="shared" si="29"/>
        <v>-23693.051212668986</v>
      </c>
      <c r="AE58" s="11">
        <f t="shared" si="29"/>
        <v>-23693.051212668986</v>
      </c>
      <c r="AF58" s="11">
        <f t="shared" si="29"/>
        <v>-23693.051212668986</v>
      </c>
      <c r="AG58" s="11">
        <f t="shared" si="29"/>
        <v>0</v>
      </c>
      <c r="AH58" s="11">
        <f t="shared" si="29"/>
        <v>0</v>
      </c>
      <c r="AI58" s="11">
        <f t="shared" si="29"/>
        <v>0</v>
      </c>
      <c r="AJ58" s="11">
        <f t="shared" si="29"/>
        <v>0</v>
      </c>
      <c r="AK58" s="11">
        <f t="shared" si="29"/>
        <v>0</v>
      </c>
      <c r="AL58" s="11">
        <f t="shared" si="29"/>
        <v>0</v>
      </c>
    </row>
    <row r="59" spans="1:38" s="25" customFormat="1" x14ac:dyDescent="0.2">
      <c r="A59" s="25" t="s">
        <v>82</v>
      </c>
      <c r="B59" s="25" t="s">
        <v>52</v>
      </c>
      <c r="C59" s="25" t="b">
        <v>0</v>
      </c>
      <c r="D59" s="12">
        <f t="shared" si="28"/>
        <v>-242290.21662947434</v>
      </c>
      <c r="E59" s="11">
        <f t="shared" ref="E59:AL59" si="30">SUMIFS(E$21:E$48,$B$21:$B$48,$B$59)</f>
        <v>0</v>
      </c>
      <c r="F59" s="11">
        <f>SUMIFS(F$21:F$48,$B$21:$B$48,$B$59)</f>
        <v>0</v>
      </c>
      <c r="G59" s="11">
        <f t="shared" si="30"/>
        <v>257091.98776045255</v>
      </c>
      <c r="H59" s="11">
        <f t="shared" si="30"/>
        <v>-157818.44879001632</v>
      </c>
      <c r="I59" s="11">
        <f t="shared" si="30"/>
        <v>-147329.09568938971</v>
      </c>
      <c r="J59" s="11">
        <f t="shared" si="30"/>
        <v>-136629.95552675085</v>
      </c>
      <c r="K59" s="11">
        <f t="shared" si="30"/>
        <v>-125716.83256085915</v>
      </c>
      <c r="L59" s="11">
        <f t="shared" si="30"/>
        <v>-114585.44713564967</v>
      </c>
      <c r="M59" s="11">
        <f t="shared" si="30"/>
        <v>-103231.43400193573</v>
      </c>
      <c r="N59" s="11">
        <f t="shared" si="30"/>
        <v>-91650.340605547855</v>
      </c>
      <c r="O59" s="11">
        <f t="shared" si="30"/>
        <v>-79837.625341231964</v>
      </c>
      <c r="P59" s="11">
        <f t="shared" si="30"/>
        <v>-67788.655771629943</v>
      </c>
      <c r="Q59" s="11">
        <f t="shared" si="30"/>
        <v>-878229.70681063575</v>
      </c>
      <c r="R59" s="11">
        <f t="shared" si="30"/>
        <v>-42962.958870421768</v>
      </c>
      <c r="S59" s="11">
        <f t="shared" si="30"/>
        <v>-30176.495971403376</v>
      </c>
      <c r="T59" s="11">
        <f t="shared" si="30"/>
        <v>-17134.303814404695</v>
      </c>
      <c r="U59" s="11">
        <f t="shared" si="30"/>
        <v>-3831.2678142661462</v>
      </c>
      <c r="V59" s="11">
        <f t="shared" si="30"/>
        <v>9737.828905875409</v>
      </c>
      <c r="W59" s="11">
        <f t="shared" si="30"/>
        <v>23578.307560419598</v>
      </c>
      <c r="X59" s="11">
        <f t="shared" si="30"/>
        <v>37695.595788054648</v>
      </c>
      <c r="Y59" s="11">
        <f t="shared" si="30"/>
        <v>52095.229780242633</v>
      </c>
      <c r="Z59" s="11">
        <f t="shared" si="30"/>
        <v>66782.85645227418</v>
      </c>
      <c r="AA59" s="11">
        <f t="shared" si="30"/>
        <v>-740966.76434225356</v>
      </c>
      <c r="AB59" s="11">
        <f t="shared" si="30"/>
        <v>97045.242447328215</v>
      </c>
      <c r="AC59" s="11">
        <f t="shared" si="30"/>
        <v>112631.86937270142</v>
      </c>
      <c r="AD59" s="11">
        <f t="shared" si="30"/>
        <v>128530.22883658235</v>
      </c>
      <c r="AE59" s="11">
        <f t="shared" si="30"/>
        <v>144746.55548974063</v>
      </c>
      <c r="AF59" s="11">
        <f t="shared" si="30"/>
        <v>161287.20867596217</v>
      </c>
      <c r="AG59" s="11">
        <f t="shared" si="30"/>
        <v>708519.70832972357</v>
      </c>
      <c r="AH59" s="11">
        <f t="shared" si="30"/>
        <v>725728.60390466847</v>
      </c>
      <c r="AI59" s="11">
        <f t="shared" si="30"/>
        <v>743281.6773911122</v>
      </c>
      <c r="AJ59" s="11">
        <f t="shared" si="30"/>
        <v>761185.81234728498</v>
      </c>
      <c r="AK59" s="11">
        <f t="shared" si="30"/>
        <v>-43282.969997419015</v>
      </c>
      <c r="AL59" s="11">
        <f t="shared" si="30"/>
        <v>798075.49201098317</v>
      </c>
    </row>
    <row r="60" spans="1:38" x14ac:dyDescent="0.2">
      <c r="A60" t="s">
        <v>83</v>
      </c>
      <c r="B60" t="s">
        <v>52</v>
      </c>
      <c r="C60" t="b">
        <v>0</v>
      </c>
      <c r="D60" s="10">
        <f t="shared" si="28"/>
        <v>-3455148.905926317</v>
      </c>
      <c r="E60" s="9">
        <f>IF(E$18=0,E58,IF(F$18=0,(F58/(1+$B$13))*(ROUNDUP($B$14,0)-$B$14),0))*(1+$K$14)</f>
        <v>0</v>
      </c>
      <c r="F60" s="9">
        <f>(F62+F63)*(1+$K$14)</f>
        <v>0</v>
      </c>
      <c r="G60" s="9">
        <f t="shared" ref="G60:AL60" si="31">(G62+G63)*(1+$K$14)</f>
        <v>-81178.615853658543</v>
      </c>
      <c r="H60" s="9">
        <f t="shared" si="31"/>
        <v>-165604.37634146344</v>
      </c>
      <c r="I60" s="9">
        <f t="shared" si="31"/>
        <v>-168916.46386829272</v>
      </c>
      <c r="J60" s="9">
        <f t="shared" si="31"/>
        <v>-172294.79314565854</v>
      </c>
      <c r="K60" s="9">
        <f t="shared" si="31"/>
        <v>-175740.6890085717</v>
      </c>
      <c r="L60" s="9">
        <f t="shared" si="31"/>
        <v>-179255.50278874318</v>
      </c>
      <c r="M60" s="9">
        <f t="shared" si="31"/>
        <v>-182840.61284451804</v>
      </c>
      <c r="N60" s="9">
        <f t="shared" si="31"/>
        <v>-186497.42510140836</v>
      </c>
      <c r="O60" s="9">
        <f t="shared" si="31"/>
        <v>-190227.37360343651</v>
      </c>
      <c r="P60" s="9">
        <f t="shared" si="31"/>
        <v>-194031.92107550526</v>
      </c>
      <c r="Q60" s="9">
        <f t="shared" si="31"/>
        <v>-197912.55949701538</v>
      </c>
      <c r="R60" s="9">
        <f t="shared" si="31"/>
        <v>-201870.81068695564</v>
      </c>
      <c r="S60" s="9">
        <f t="shared" si="31"/>
        <v>-205908.2269006948</v>
      </c>
      <c r="T60" s="9">
        <f t="shared" si="31"/>
        <v>-210026.3914387087</v>
      </c>
      <c r="U60" s="9">
        <f t="shared" si="31"/>
        <v>-214226.91926748288</v>
      </c>
      <c r="V60" s="9">
        <f t="shared" si="31"/>
        <v>-218511.4576528325</v>
      </c>
      <c r="W60" s="9">
        <f t="shared" si="31"/>
        <v>-222881.68680588916</v>
      </c>
      <c r="X60" s="9">
        <f t="shared" si="31"/>
        <v>-227339.32054200696</v>
      </c>
      <c r="Y60" s="9">
        <f t="shared" si="31"/>
        <v>-231886.1069528471</v>
      </c>
      <c r="Z60" s="9">
        <f t="shared" si="31"/>
        <v>-236523.82909190402</v>
      </c>
      <c r="AA60" s="9">
        <f t="shared" si="31"/>
        <v>-241254.30567374211</v>
      </c>
      <c r="AB60" s="9">
        <f t="shared" si="31"/>
        <v>-246079.39178721694</v>
      </c>
      <c r="AC60" s="9">
        <f t="shared" si="31"/>
        <v>-251000.97962296128</v>
      </c>
      <c r="AD60" s="9">
        <f t="shared" si="31"/>
        <v>-256020.99921542048</v>
      </c>
      <c r="AE60" s="9">
        <f t="shared" si="31"/>
        <v>-261141.4191997289</v>
      </c>
      <c r="AF60" s="9">
        <f t="shared" si="31"/>
        <v>-266364.24758372345</v>
      </c>
      <c r="AG60" s="9">
        <f t="shared" si="31"/>
        <v>-271691.53253539797</v>
      </c>
      <c r="AH60" s="9">
        <f t="shared" si="31"/>
        <v>-277125.36318610585</v>
      </c>
      <c r="AI60" s="9">
        <f t="shared" si="31"/>
        <v>-282667.87044982804</v>
      </c>
      <c r="AJ60" s="9">
        <f t="shared" si="31"/>
        <v>-288321.22785882454</v>
      </c>
      <c r="AK60" s="9">
        <f t="shared" si="31"/>
        <v>-294087.65241600107</v>
      </c>
      <c r="AL60" s="9">
        <f t="shared" si="31"/>
        <v>-299969.40546432108</v>
      </c>
    </row>
    <row r="61" spans="1:38" x14ac:dyDescent="0.2">
      <c r="A61" t="s">
        <v>84</v>
      </c>
      <c r="B61" t="s">
        <v>50</v>
      </c>
      <c r="C61" t="b">
        <v>1</v>
      </c>
      <c r="D61" s="10">
        <f t="shared" si="28"/>
        <v>3290618.0056441124</v>
      </c>
      <c r="E61" s="9">
        <f>-E60/(1+$B$11)</f>
        <v>0</v>
      </c>
      <c r="F61" s="9">
        <f t="shared" ref="F61:AL61" si="32">-F60/(1+$B$11)</f>
        <v>0</v>
      </c>
      <c r="G61" s="9">
        <f>-G60/(1+$B$11)</f>
        <v>77312.9674796748</v>
      </c>
      <c r="H61" s="9">
        <f t="shared" si="32"/>
        <v>157718.4536585366</v>
      </c>
      <c r="I61" s="9">
        <f t="shared" si="32"/>
        <v>160872.82273170733</v>
      </c>
      <c r="J61" s="9">
        <f t="shared" si="32"/>
        <v>164090.27918634145</v>
      </c>
      <c r="K61" s="9">
        <f t="shared" si="32"/>
        <v>167372.08477006829</v>
      </c>
      <c r="L61" s="9">
        <f t="shared" si="32"/>
        <v>170719.52646546968</v>
      </c>
      <c r="M61" s="9">
        <f t="shared" si="32"/>
        <v>174133.91699477908</v>
      </c>
      <c r="N61" s="9">
        <f t="shared" si="32"/>
        <v>177616.59533467461</v>
      </c>
      <c r="O61" s="9">
        <f t="shared" si="32"/>
        <v>181168.9272413681</v>
      </c>
      <c r="P61" s="9">
        <f t="shared" si="32"/>
        <v>184792.30578619547</v>
      </c>
      <c r="Q61" s="9">
        <f t="shared" si="32"/>
        <v>188488.15190191939</v>
      </c>
      <c r="R61" s="9">
        <f t="shared" si="32"/>
        <v>192257.91493995773</v>
      </c>
      <c r="S61" s="9">
        <f t="shared" si="32"/>
        <v>196103.07323875694</v>
      </c>
      <c r="T61" s="9">
        <f t="shared" si="32"/>
        <v>200025.13470353209</v>
      </c>
      <c r="U61" s="9">
        <f t="shared" si="32"/>
        <v>204025.63739760272</v>
      </c>
      <c r="V61" s="9">
        <f t="shared" si="32"/>
        <v>208106.15014555474</v>
      </c>
      <c r="W61" s="9">
        <f t="shared" si="32"/>
        <v>212268.27314846584</v>
      </c>
      <c r="X61" s="9">
        <f t="shared" si="32"/>
        <v>216513.63861143519</v>
      </c>
      <c r="Y61" s="9">
        <f t="shared" si="32"/>
        <v>220843.91138366389</v>
      </c>
      <c r="Z61" s="9">
        <f t="shared" si="32"/>
        <v>225260.78961133715</v>
      </c>
      <c r="AA61" s="9">
        <f t="shared" si="32"/>
        <v>229766.0054035639</v>
      </c>
      <c r="AB61" s="9">
        <f t="shared" si="32"/>
        <v>234361.32551163516</v>
      </c>
      <c r="AC61" s="9">
        <f t="shared" si="32"/>
        <v>239048.55202186789</v>
      </c>
      <c r="AD61" s="9">
        <f t="shared" si="32"/>
        <v>243829.5230623052</v>
      </c>
      <c r="AE61" s="9">
        <f t="shared" si="32"/>
        <v>248706.11352355132</v>
      </c>
      <c r="AF61" s="9">
        <f t="shared" si="32"/>
        <v>253680.23579402233</v>
      </c>
      <c r="AG61" s="9">
        <f t="shared" si="32"/>
        <v>258753.84050990283</v>
      </c>
      <c r="AH61" s="9">
        <f t="shared" si="32"/>
        <v>263928.91732010082</v>
      </c>
      <c r="AI61" s="9">
        <f t="shared" si="32"/>
        <v>269207.49566650286</v>
      </c>
      <c r="AJ61" s="9">
        <f t="shared" si="32"/>
        <v>274591.6455798329</v>
      </c>
      <c r="AK61" s="9">
        <f t="shared" si="32"/>
        <v>280083.47849142959</v>
      </c>
      <c r="AL61" s="9">
        <f t="shared" si="32"/>
        <v>285685.14806125814</v>
      </c>
    </row>
    <row r="62" spans="1:38" x14ac:dyDescent="0.2">
      <c r="A62" t="s">
        <v>85</v>
      </c>
      <c r="B62" t="s">
        <v>50</v>
      </c>
      <c r="C62" t="b">
        <v>1</v>
      </c>
      <c r="D62" s="10">
        <f t="shared" si="28"/>
        <v>-1347648.8394800411</v>
      </c>
      <c r="E62" s="9">
        <f>IF(E19&gt;$B$14,$E$14*$B$9*POWER(1+$B$13,E$19-ROUNDUP($B$14,0)),0)*IF(E$18=0,1,ROUNDUP($B$14,0)-$B$14)*IF($C62,1/(1+$B$7),1)</f>
        <v>0</v>
      </c>
      <c r="F62" s="9">
        <f>IF(F19&gt;$B$14,$E$14*$B$9*POWER(1+$B$13,F$19-ROUNDUP($B$14,0)),0)*IF(F$18=0,1,ROUNDUP($B$14,0)-$B$14)*IF($C62,1/(1+$B$7),1)</f>
        <v>0</v>
      </c>
      <c r="G62" s="9">
        <f t="shared" ref="G62:AL62" si="33">IF(G19&gt;$B$14,$E$14*$B$9*POWER(1+$B$13,G$19-ROUNDUP($B$14,0)),0)*IF(G$18=0,1,ROUNDUP($B$14,0)-$B$14)*IF($C62,1/(1+$B$7),1)</f>
        <v>-31662.9674796748</v>
      </c>
      <c r="H62" s="9">
        <f t="shared" si="33"/>
        <v>-64592.453658536593</v>
      </c>
      <c r="I62" s="9">
        <f t="shared" si="33"/>
        <v>-65884.302731707328</v>
      </c>
      <c r="J62" s="9">
        <f t="shared" si="33"/>
        <v>-67201.988786341462</v>
      </c>
      <c r="K62" s="9">
        <f t="shared" si="33"/>
        <v>-68546.028562068299</v>
      </c>
      <c r="L62" s="9">
        <f t="shared" si="33"/>
        <v>-69916.949133309667</v>
      </c>
      <c r="M62" s="9">
        <f t="shared" si="33"/>
        <v>-71315.288115975869</v>
      </c>
      <c r="N62" s="9">
        <f t="shared" si="33"/>
        <v>-72741.59387829536</v>
      </c>
      <c r="O62" s="9">
        <f t="shared" si="33"/>
        <v>-74196.425755861274</v>
      </c>
      <c r="P62" s="9">
        <f t="shared" si="33"/>
        <v>-75680.354270978496</v>
      </c>
      <c r="Q62" s="9">
        <f t="shared" si="33"/>
        <v>-77193.961356398067</v>
      </c>
      <c r="R62" s="9">
        <f t="shared" si="33"/>
        <v>-78737.84058352602</v>
      </c>
      <c r="S62" s="9">
        <f t="shared" si="33"/>
        <v>-80312.597395196557</v>
      </c>
      <c r="T62" s="9">
        <f t="shared" si="33"/>
        <v>-81918.84934310049</v>
      </c>
      <c r="U62" s="9">
        <f t="shared" si="33"/>
        <v>-83557.226329962505</v>
      </c>
      <c r="V62" s="9">
        <f t="shared" si="33"/>
        <v>-85228.370856561727</v>
      </c>
      <c r="W62" s="9">
        <f t="shared" si="33"/>
        <v>-86932.938273692984</v>
      </c>
      <c r="X62" s="9">
        <f t="shared" si="33"/>
        <v>-88671.597039166852</v>
      </c>
      <c r="Y62" s="9">
        <f t="shared" si="33"/>
        <v>-90445.028979950177</v>
      </c>
      <c r="Z62" s="9">
        <f t="shared" si="33"/>
        <v>-92253.929559549171</v>
      </c>
      <c r="AA62" s="9">
        <f t="shared" si="33"/>
        <v>-94099.008150740163</v>
      </c>
      <c r="AB62" s="9">
        <f t="shared" si="33"/>
        <v>-95980.988313754962</v>
      </c>
      <c r="AC62" s="9">
        <f t="shared" si="33"/>
        <v>-97900.60808003007</v>
      </c>
      <c r="AD62" s="9">
        <f t="shared" si="33"/>
        <v>-99858.620241630648</v>
      </c>
      <c r="AE62" s="9">
        <f t="shared" si="33"/>
        <v>-101855.79264646326</v>
      </c>
      <c r="AF62" s="9">
        <f t="shared" si="33"/>
        <v>-103892.90849939254</v>
      </c>
      <c r="AG62" s="9">
        <f t="shared" si="33"/>
        <v>-105970.76666938041</v>
      </c>
      <c r="AH62" s="9">
        <f t="shared" si="33"/>
        <v>-108090.18200276799</v>
      </c>
      <c r="AI62" s="9">
        <f t="shared" si="33"/>
        <v>-110251.98564282336</v>
      </c>
      <c r="AJ62" s="9">
        <f t="shared" si="33"/>
        <v>-112457.02535567981</v>
      </c>
      <c r="AK62" s="9">
        <f t="shared" si="33"/>
        <v>-114706.16586279342</v>
      </c>
      <c r="AL62" s="9">
        <f t="shared" si="33"/>
        <v>-117000.28918004927</v>
      </c>
    </row>
    <row r="63" spans="1:38" x14ac:dyDescent="0.2">
      <c r="A63" t="s">
        <v>86</v>
      </c>
      <c r="B63" t="s">
        <v>50</v>
      </c>
      <c r="C63" t="b">
        <v>0</v>
      </c>
      <c r="D63" s="10">
        <f t="shared" si="28"/>
        <v>-1942969.1661640713</v>
      </c>
      <c r="E63" s="24">
        <f>IF(E19&gt;$B$14,$N$14*$E$5*POWER(1+$B$13,E$19-ROUNDUP($B$14,0)),0)*IF(E$18=0,1,ROUNDUP($B$14,0)-$B$14)</f>
        <v>0</v>
      </c>
      <c r="F63" s="24">
        <f>IF(F19&gt;$B$14,$N$14*$E$5*POWER(1+$B$13,F$19-ROUNDUP($B$14,0)),0)*IF(F$18=0,1,ROUNDUP($B$14,0)-$B$14)</f>
        <v>0</v>
      </c>
      <c r="G63" s="24">
        <f t="shared" ref="G63:AL63" si="34">IF(G19&gt;$B$14,$N$14*$E$5*POWER(1+$B$13,G$19-ROUNDUP($B$14,0)),0)*IF(G$18=0,1,ROUNDUP($B$14,0)-$B$14)</f>
        <v>-45650</v>
      </c>
      <c r="H63" s="24">
        <f t="shared" si="34"/>
        <v>-93126</v>
      </c>
      <c r="I63" s="24">
        <f t="shared" si="34"/>
        <v>-94988.52</v>
      </c>
      <c r="J63" s="24">
        <f t="shared" si="34"/>
        <v>-96888.290399999998</v>
      </c>
      <c r="K63" s="24">
        <f t="shared" si="34"/>
        <v>-98826.056207999995</v>
      </c>
      <c r="L63" s="24">
        <f t="shared" si="34"/>
        <v>-100802.57733216</v>
      </c>
      <c r="M63" s="24">
        <f t="shared" si="34"/>
        <v>-102818.62887880321</v>
      </c>
      <c r="N63" s="24">
        <f t="shared" si="34"/>
        <v>-104875.00145637925</v>
      </c>
      <c r="O63" s="24">
        <f t="shared" si="34"/>
        <v>-106972.50148550684</v>
      </c>
      <c r="P63" s="24">
        <f t="shared" si="34"/>
        <v>-109111.95151521698</v>
      </c>
      <c r="Q63" s="24">
        <f t="shared" si="34"/>
        <v>-111294.19054552133</v>
      </c>
      <c r="R63" s="24">
        <f t="shared" si="34"/>
        <v>-113520.07435643172</v>
      </c>
      <c r="S63" s="24">
        <f t="shared" si="34"/>
        <v>-115790.47584356039</v>
      </c>
      <c r="T63" s="24">
        <f t="shared" si="34"/>
        <v>-118106.28536043159</v>
      </c>
      <c r="U63" s="24">
        <f t="shared" si="34"/>
        <v>-120468.41106764023</v>
      </c>
      <c r="V63" s="24">
        <f t="shared" si="34"/>
        <v>-122877.779288993</v>
      </c>
      <c r="W63" s="24">
        <f t="shared" si="34"/>
        <v>-125335.33487477287</v>
      </c>
      <c r="X63" s="24">
        <f t="shared" si="34"/>
        <v>-127842.04157226835</v>
      </c>
      <c r="Y63" s="24">
        <f t="shared" si="34"/>
        <v>-130398.88240371369</v>
      </c>
      <c r="Z63" s="24">
        <f t="shared" si="34"/>
        <v>-133006.86005178798</v>
      </c>
      <c r="AA63" s="24">
        <f t="shared" si="34"/>
        <v>-135666.99725282376</v>
      </c>
      <c r="AB63" s="24">
        <f t="shared" si="34"/>
        <v>-138380.3371978802</v>
      </c>
      <c r="AC63" s="24">
        <f t="shared" si="34"/>
        <v>-141147.94394183782</v>
      </c>
      <c r="AD63" s="24">
        <f t="shared" si="34"/>
        <v>-143970.90282067456</v>
      </c>
      <c r="AE63" s="24">
        <f t="shared" si="34"/>
        <v>-146850.32087708806</v>
      </c>
      <c r="AF63" s="24">
        <f t="shared" si="34"/>
        <v>-149787.32729462979</v>
      </c>
      <c r="AG63" s="24">
        <f t="shared" si="34"/>
        <v>-152783.07384052241</v>
      </c>
      <c r="AH63" s="24">
        <f t="shared" si="34"/>
        <v>-155838.73531733284</v>
      </c>
      <c r="AI63" s="24">
        <f t="shared" si="34"/>
        <v>-158955.51002367953</v>
      </c>
      <c r="AJ63" s="24">
        <f t="shared" si="34"/>
        <v>-162134.6202241531</v>
      </c>
      <c r="AK63" s="24">
        <f t="shared" si="34"/>
        <v>-165377.31262863617</v>
      </c>
      <c r="AL63" s="24">
        <f t="shared" si="34"/>
        <v>-168684.85888120884</v>
      </c>
    </row>
    <row r="64" spans="1:38" s="16" customFormat="1" x14ac:dyDescent="0.2">
      <c r="A64" s="15" t="s">
        <v>67</v>
      </c>
      <c r="B64" s="15" t="s">
        <v>50</v>
      </c>
      <c r="D64" s="19">
        <f t="shared" si="28"/>
        <v>164530.90028220561</v>
      </c>
      <c r="E64" s="18">
        <f>E61*$B$11</f>
        <v>0</v>
      </c>
      <c r="F64" s="18">
        <f t="shared" ref="F64:AL65" si="35">F61*$B$11</f>
        <v>0</v>
      </c>
      <c r="G64" s="18">
        <f t="shared" si="35"/>
        <v>3865.6483739837404</v>
      </c>
      <c r="H64" s="18">
        <f t="shared" si="35"/>
        <v>7885.92268292683</v>
      </c>
      <c r="I64" s="18">
        <f t="shared" si="35"/>
        <v>8043.6411365853673</v>
      </c>
      <c r="J64" s="18">
        <f t="shared" si="35"/>
        <v>8204.5139593170734</v>
      </c>
      <c r="K64" s="18">
        <f t="shared" si="35"/>
        <v>8368.6042385034143</v>
      </c>
      <c r="L64" s="18">
        <f t="shared" si="35"/>
        <v>8535.976323273484</v>
      </c>
      <c r="M64" s="18">
        <f t="shared" si="35"/>
        <v>8706.6958497389551</v>
      </c>
      <c r="N64" s="18">
        <f t="shared" si="35"/>
        <v>8880.8297667337301</v>
      </c>
      <c r="O64" s="18">
        <f t="shared" si="35"/>
        <v>9058.4463620684055</v>
      </c>
      <c r="P64" s="18">
        <f t="shared" si="35"/>
        <v>9239.6152893097733</v>
      </c>
      <c r="Q64" s="18">
        <f t="shared" si="35"/>
        <v>9424.4075950959705</v>
      </c>
      <c r="R64" s="18">
        <f t="shared" si="35"/>
        <v>9612.8957469978868</v>
      </c>
      <c r="S64" s="18">
        <f t="shared" si="35"/>
        <v>9805.1536619378476</v>
      </c>
      <c r="T64" s="18">
        <f t="shared" si="35"/>
        <v>10001.256735176605</v>
      </c>
      <c r="U64" s="18">
        <f t="shared" si="35"/>
        <v>10201.281869880137</v>
      </c>
      <c r="V64" s="18">
        <f t="shared" si="35"/>
        <v>10405.307507277737</v>
      </c>
      <c r="W64" s="18">
        <f t="shared" si="35"/>
        <v>10613.413657423293</v>
      </c>
      <c r="X64" s="18">
        <f t="shared" si="35"/>
        <v>10825.68193057176</v>
      </c>
      <c r="Y64" s="18">
        <f t="shared" si="35"/>
        <v>11042.195569183195</v>
      </c>
      <c r="Z64" s="18">
        <f t="shared" si="35"/>
        <v>11263.039480566858</v>
      </c>
      <c r="AA64" s="18">
        <f t="shared" si="35"/>
        <v>11488.300270178195</v>
      </c>
      <c r="AB64" s="18">
        <f t="shared" si="35"/>
        <v>11718.066275581759</v>
      </c>
      <c r="AC64" s="18">
        <f t="shared" si="35"/>
        <v>11952.427601093395</v>
      </c>
      <c r="AD64" s="18">
        <f t="shared" si="35"/>
        <v>12191.476153115262</v>
      </c>
      <c r="AE64" s="18">
        <f t="shared" si="35"/>
        <v>12435.305676177566</v>
      </c>
      <c r="AF64" s="18">
        <f t="shared" si="35"/>
        <v>12684.011789701117</v>
      </c>
      <c r="AG64" s="18">
        <f t="shared" si="35"/>
        <v>12937.692025495142</v>
      </c>
      <c r="AH64" s="18">
        <f t="shared" si="35"/>
        <v>13196.445866005042</v>
      </c>
      <c r="AI64" s="18">
        <f t="shared" si="35"/>
        <v>13460.374783325144</v>
      </c>
      <c r="AJ64" s="18">
        <f t="shared" si="35"/>
        <v>13729.582278991646</v>
      </c>
      <c r="AK64" s="18">
        <f t="shared" si="35"/>
        <v>14004.17392457148</v>
      </c>
      <c r="AL64" s="18">
        <f t="shared" si="35"/>
        <v>14284.257403062908</v>
      </c>
    </row>
    <row r="65" spans="1:38" s="16" customFormat="1" x14ac:dyDescent="0.2">
      <c r="A65" s="15" t="s">
        <v>53</v>
      </c>
      <c r="B65" s="15" t="s">
        <v>50</v>
      </c>
      <c r="D65" s="19">
        <f t="shared" si="28"/>
        <v>-67382.441974002024</v>
      </c>
      <c r="E65" s="18">
        <f>E62*$B$11</f>
        <v>0</v>
      </c>
      <c r="F65" s="18">
        <f t="shared" si="35"/>
        <v>0</v>
      </c>
      <c r="G65" s="18">
        <f t="shared" si="35"/>
        <v>-1583.1483739837402</v>
      </c>
      <c r="H65" s="18">
        <f t="shared" si="35"/>
        <v>-3229.6226829268298</v>
      </c>
      <c r="I65" s="18">
        <f t="shared" si="35"/>
        <v>-3294.2151365853665</v>
      </c>
      <c r="J65" s="18">
        <f t="shared" si="35"/>
        <v>-3360.0994393170731</v>
      </c>
      <c r="K65" s="18">
        <f t="shared" si="35"/>
        <v>-3427.3014281034152</v>
      </c>
      <c r="L65" s="18">
        <f t="shared" si="35"/>
        <v>-3495.8474566654836</v>
      </c>
      <c r="M65" s="18">
        <f t="shared" si="35"/>
        <v>-3565.7644057987936</v>
      </c>
      <c r="N65" s="18">
        <f t="shared" si="35"/>
        <v>-3637.0796939147681</v>
      </c>
      <c r="O65" s="18">
        <f t="shared" si="35"/>
        <v>-3709.8212877930637</v>
      </c>
      <c r="P65" s="18">
        <f t="shared" si="35"/>
        <v>-3784.0177135489248</v>
      </c>
      <c r="Q65" s="18">
        <f t="shared" si="35"/>
        <v>-3859.6980678199034</v>
      </c>
      <c r="R65" s="18">
        <f t="shared" si="35"/>
        <v>-3936.8920291763011</v>
      </c>
      <c r="S65" s="18">
        <f t="shared" si="35"/>
        <v>-4015.6298697598281</v>
      </c>
      <c r="T65" s="18">
        <f t="shared" si="35"/>
        <v>-4095.9424671550246</v>
      </c>
      <c r="U65" s="18">
        <f t="shared" si="35"/>
        <v>-4177.8613164981252</v>
      </c>
      <c r="V65" s="18">
        <f t="shared" si="35"/>
        <v>-4261.4185428280862</v>
      </c>
      <c r="W65" s="18">
        <f t="shared" si="35"/>
        <v>-4346.646913684649</v>
      </c>
      <c r="X65" s="18">
        <f t="shared" si="35"/>
        <v>-4433.5798519583432</v>
      </c>
      <c r="Y65" s="18">
        <f t="shared" si="35"/>
        <v>-4522.2514489975092</v>
      </c>
      <c r="Z65" s="18">
        <f t="shared" si="35"/>
        <v>-4612.6964779774589</v>
      </c>
      <c r="AA65" s="18">
        <f t="shared" si="35"/>
        <v>-4704.9504075370087</v>
      </c>
      <c r="AB65" s="18">
        <f t="shared" si="35"/>
        <v>-4799.0494156877485</v>
      </c>
      <c r="AC65" s="18">
        <f t="shared" si="35"/>
        <v>-4895.0304040015035</v>
      </c>
      <c r="AD65" s="18">
        <f t="shared" si="35"/>
        <v>-4992.9310120815326</v>
      </c>
      <c r="AE65" s="18">
        <f t="shared" si="35"/>
        <v>-5092.7896323231635</v>
      </c>
      <c r="AF65" s="18">
        <f t="shared" si="35"/>
        <v>-5194.6454249696271</v>
      </c>
      <c r="AG65" s="18">
        <f t="shared" si="35"/>
        <v>-5298.5383334690205</v>
      </c>
      <c r="AH65" s="18">
        <f t="shared" si="35"/>
        <v>-5404.5091001383998</v>
      </c>
      <c r="AI65" s="18">
        <f t="shared" si="35"/>
        <v>-5512.5992821411683</v>
      </c>
      <c r="AJ65" s="18">
        <f t="shared" si="35"/>
        <v>-5622.8512677839908</v>
      </c>
      <c r="AK65" s="18">
        <f t="shared" si="35"/>
        <v>-5735.3082931396712</v>
      </c>
      <c r="AL65" s="18">
        <f t="shared" si="35"/>
        <v>-5850.0144590024638</v>
      </c>
    </row>
    <row r="66" spans="1:38" x14ac:dyDescent="0.2">
      <c r="A66" s="15" t="s">
        <v>105</v>
      </c>
      <c r="B66" s="15" t="s">
        <v>50</v>
      </c>
      <c r="D66" s="19">
        <f t="shared" si="28"/>
        <v>-91145.531254461646</v>
      </c>
      <c r="E66" s="18">
        <v>0</v>
      </c>
      <c r="F66" s="18">
        <f>-E65-E64</f>
        <v>0</v>
      </c>
      <c r="G66" s="18">
        <f>-F65-F64</f>
        <v>0</v>
      </c>
      <c r="H66" s="18">
        <f t="shared" ref="H66:AL66" si="36">-G65-G64</f>
        <v>-2282.5</v>
      </c>
      <c r="I66" s="18">
        <f t="shared" si="36"/>
        <v>-4656.3</v>
      </c>
      <c r="J66" s="18">
        <f t="shared" si="36"/>
        <v>-4749.4260000000013</v>
      </c>
      <c r="K66" s="18">
        <f t="shared" si="36"/>
        <v>-4844.4145200000003</v>
      </c>
      <c r="L66" s="18">
        <f t="shared" si="36"/>
        <v>-4941.3028103999986</v>
      </c>
      <c r="M66" s="18">
        <f t="shared" si="36"/>
        <v>-5040.128866608</v>
      </c>
      <c r="N66" s="18">
        <f t="shared" si="36"/>
        <v>-5140.9314439401614</v>
      </c>
      <c r="O66" s="18">
        <f t="shared" si="36"/>
        <v>-5243.7500728189625</v>
      </c>
      <c r="P66" s="18">
        <f t="shared" si="36"/>
        <v>-5348.6250742753418</v>
      </c>
      <c r="Q66" s="18">
        <f t="shared" si="36"/>
        <v>-5455.5975757608485</v>
      </c>
      <c r="R66" s="18">
        <f t="shared" si="36"/>
        <v>-5564.7095272760671</v>
      </c>
      <c r="S66" s="18">
        <f t="shared" si="36"/>
        <v>-5676.0037178215862</v>
      </c>
      <c r="T66" s="18">
        <f t="shared" si="36"/>
        <v>-5789.523792178019</v>
      </c>
      <c r="U66" s="18">
        <f t="shared" si="36"/>
        <v>-5905.3142680215806</v>
      </c>
      <c r="V66" s="18">
        <f t="shared" si="36"/>
        <v>-6023.4205533820113</v>
      </c>
      <c r="W66" s="18">
        <f t="shared" si="36"/>
        <v>-6143.8889644496512</v>
      </c>
      <c r="X66" s="18">
        <f t="shared" si="36"/>
        <v>-6266.7667437386435</v>
      </c>
      <c r="Y66" s="18">
        <f t="shared" si="36"/>
        <v>-6392.1020786134168</v>
      </c>
      <c r="Z66" s="18">
        <f t="shared" si="36"/>
        <v>-6519.9441201856862</v>
      </c>
      <c r="AA66" s="18">
        <f t="shared" si="36"/>
        <v>-6650.3430025893995</v>
      </c>
      <c r="AB66" s="18">
        <f t="shared" si="36"/>
        <v>-6783.3498626411865</v>
      </c>
      <c r="AC66" s="18">
        <f t="shared" si="36"/>
        <v>-6919.0168598940108</v>
      </c>
      <c r="AD66" s="18">
        <f t="shared" si="36"/>
        <v>-7057.3971970918919</v>
      </c>
      <c r="AE66" s="18">
        <f t="shared" si="36"/>
        <v>-7198.5451410337291</v>
      </c>
      <c r="AF66" s="18">
        <f t="shared" si="36"/>
        <v>-7342.5160438544026</v>
      </c>
      <c r="AG66" s="18">
        <f t="shared" si="36"/>
        <v>-7489.3663647314897</v>
      </c>
      <c r="AH66" s="18">
        <f t="shared" si="36"/>
        <v>-7639.1536920261215</v>
      </c>
      <c r="AI66" s="18">
        <f t="shared" si="36"/>
        <v>-7791.9367658666424</v>
      </c>
      <c r="AJ66" s="18">
        <f t="shared" si="36"/>
        <v>-7947.7755011839754</v>
      </c>
      <c r="AK66" s="18">
        <f t="shared" si="36"/>
        <v>-8106.7310112076548</v>
      </c>
      <c r="AL66" s="18">
        <f t="shared" si="36"/>
        <v>-8268.8656314318087</v>
      </c>
    </row>
    <row r="67" spans="1:38" x14ac:dyDescent="0.2">
      <c r="A67" t="s">
        <v>87</v>
      </c>
      <c r="B67" t="s">
        <v>50</v>
      </c>
      <c r="D67" s="10">
        <f t="shared" si="28"/>
        <v>691571.58668318612</v>
      </c>
      <c r="E67" s="9">
        <f>SUMIFS(E$58:E$65,$B$58:$B$65,$B67)</f>
        <v>0</v>
      </c>
      <c r="F67" s="9">
        <f>SUMIFS(F$58:F$65,$B$58:$B$65,$B67)-E65-E64</f>
        <v>1230752.0650406505</v>
      </c>
      <c r="G67" s="9">
        <f t="shared" ref="G67:AL67" si="37">SUMIFS(G$58:G$65,$B$58:$B$65,$B67)-F65-F64</f>
        <v>2282.5</v>
      </c>
      <c r="H67" s="9">
        <f t="shared" si="37"/>
        <v>-196389.05025575863</v>
      </c>
      <c r="I67" s="9">
        <f t="shared" si="37"/>
        <v>-23599.925212668972</v>
      </c>
      <c r="J67" s="9">
        <f t="shared" si="37"/>
        <v>-23598.062692669017</v>
      </c>
      <c r="K67" s="9">
        <f t="shared" si="37"/>
        <v>-23596.162922269003</v>
      </c>
      <c r="L67" s="9">
        <f t="shared" si="37"/>
        <v>-23594.225156460954</v>
      </c>
      <c r="M67" s="9">
        <f t="shared" si="37"/>
        <v>-23592.24863533684</v>
      </c>
      <c r="N67" s="9">
        <f t="shared" si="37"/>
        <v>-23590.232583790174</v>
      </c>
      <c r="O67" s="9">
        <f t="shared" si="37"/>
        <v>-23588.176211212638</v>
      </c>
      <c r="P67" s="9">
        <f t="shared" si="37"/>
        <v>-23586.078711183494</v>
      </c>
      <c r="Q67" s="9">
        <f t="shared" si="37"/>
        <v>-23583.939261153784</v>
      </c>
      <c r="R67" s="9">
        <f t="shared" si="37"/>
        <v>-23581.757022123496</v>
      </c>
      <c r="S67" s="9">
        <f t="shared" si="37"/>
        <v>-23579.531138312537</v>
      </c>
      <c r="T67" s="9">
        <f t="shared" si="37"/>
        <v>-23577.260736825425</v>
      </c>
      <c r="U67" s="9">
        <f t="shared" si="37"/>
        <v>-23574.944927308585</v>
      </c>
      <c r="V67" s="9">
        <f t="shared" si="37"/>
        <v>-23572.582801601347</v>
      </c>
      <c r="W67" s="9">
        <f t="shared" si="37"/>
        <v>-23570.17343338002</v>
      </c>
      <c r="X67" s="9">
        <f t="shared" si="37"/>
        <v>-23567.715877794239</v>
      </c>
      <c r="Y67" s="9">
        <f t="shared" si="37"/>
        <v>-23565.209171096714</v>
      </c>
      <c r="Z67" s="9">
        <f t="shared" si="37"/>
        <v>-23562.65233026526</v>
      </c>
      <c r="AA67" s="9">
        <f t="shared" si="37"/>
        <v>-23560.044352617231</v>
      </c>
      <c r="AB67" s="9">
        <f t="shared" si="37"/>
        <v>-23557.384215416176</v>
      </c>
      <c r="AC67" s="9">
        <f t="shared" si="37"/>
        <v>-23554.670875471118</v>
      </c>
      <c r="AD67" s="9">
        <f t="shared" si="37"/>
        <v>-23551.903268727132</v>
      </c>
      <c r="AE67" s="9">
        <f t="shared" si="37"/>
        <v>-23549.080309848327</v>
      </c>
      <c r="AF67" s="9">
        <f t="shared" si="37"/>
        <v>-23546.200891791916</v>
      </c>
      <c r="AG67" s="9">
        <f t="shared" si="37"/>
        <v>149.78732729466174</v>
      </c>
      <c r="AH67" s="9">
        <f t="shared" si="37"/>
        <v>152.78307384052096</v>
      </c>
      <c r="AI67" s="9">
        <f t="shared" si="37"/>
        <v>155.83873531730387</v>
      </c>
      <c r="AJ67" s="9">
        <f t="shared" si="37"/>
        <v>158.95551002367938</v>
      </c>
      <c r="AK67" s="9">
        <f t="shared" si="37"/>
        <v>162.13462022415479</v>
      </c>
      <c r="AL67" s="9">
        <f t="shared" si="37"/>
        <v>165.37731262866328</v>
      </c>
    </row>
    <row r="68" spans="1:38" x14ac:dyDescent="0.2">
      <c r="A68" t="s">
        <v>87</v>
      </c>
      <c r="B68" t="s">
        <v>52</v>
      </c>
      <c r="D68" s="10">
        <f t="shared" si="28"/>
        <v>-3697439.1225557909</v>
      </c>
      <c r="E68" s="9">
        <f>SUMIFS(E$58:E$65,$B$58:$B$65,$B68)</f>
        <v>0</v>
      </c>
      <c r="F68" s="9">
        <f t="shared" ref="F68:AL68" si="38">SUMIFS(F$58:F$65,$B$58:$B$65,$B68)</f>
        <v>0</v>
      </c>
      <c r="G68" s="9">
        <f t="shared" si="38"/>
        <v>175913.37190679403</v>
      </c>
      <c r="H68" s="9">
        <f t="shared" si="38"/>
        <v>-323422.82513147977</v>
      </c>
      <c r="I68" s="9">
        <f t="shared" si="38"/>
        <v>-316245.55955768243</v>
      </c>
      <c r="J68" s="9">
        <f t="shared" si="38"/>
        <v>-308924.74867240939</v>
      </c>
      <c r="K68" s="9">
        <f t="shared" si="38"/>
        <v>-301457.52156943083</v>
      </c>
      <c r="L68" s="9">
        <f t="shared" si="38"/>
        <v>-293840.94992439286</v>
      </c>
      <c r="M68" s="9">
        <f t="shared" si="38"/>
        <v>-286072.0468464538</v>
      </c>
      <c r="N68" s="9">
        <f t="shared" si="38"/>
        <v>-278147.76570695621</v>
      </c>
      <c r="O68" s="9">
        <f t="shared" si="38"/>
        <v>-270064.99894466845</v>
      </c>
      <c r="P68" s="9">
        <f t="shared" si="38"/>
        <v>-261820.57684713521</v>
      </c>
      <c r="Q68" s="9">
        <f t="shared" si="38"/>
        <v>-1076142.2663076511</v>
      </c>
      <c r="R68" s="9">
        <f t="shared" si="38"/>
        <v>-244833.76955737741</v>
      </c>
      <c r="S68" s="9">
        <f t="shared" si="38"/>
        <v>-236084.72287209818</v>
      </c>
      <c r="T68" s="9">
        <f t="shared" si="38"/>
        <v>-227160.6952531134</v>
      </c>
      <c r="U68" s="9">
        <f t="shared" si="38"/>
        <v>-218058.18708174903</v>
      </c>
      <c r="V68" s="9">
        <f t="shared" si="38"/>
        <v>-208773.62874695708</v>
      </c>
      <c r="W68" s="9">
        <f t="shared" si="38"/>
        <v>-199303.37924546955</v>
      </c>
      <c r="X68" s="9">
        <f t="shared" si="38"/>
        <v>-189643.72475395229</v>
      </c>
      <c r="Y68" s="9">
        <f t="shared" si="38"/>
        <v>-179790.87717260447</v>
      </c>
      <c r="Z68" s="9">
        <f t="shared" si="38"/>
        <v>-169740.97263962985</v>
      </c>
      <c r="AA68" s="9">
        <f t="shared" si="38"/>
        <v>-982221.07001599565</v>
      </c>
      <c r="AB68" s="9">
        <f t="shared" si="38"/>
        <v>-149034.14933988871</v>
      </c>
      <c r="AC68" s="9">
        <f t="shared" si="38"/>
        <v>-138369.11025025987</v>
      </c>
      <c r="AD68" s="9">
        <f t="shared" si="38"/>
        <v>-127490.77037883813</v>
      </c>
      <c r="AE68" s="9">
        <f t="shared" si="38"/>
        <v>-116394.86370998828</v>
      </c>
      <c r="AF68" s="9">
        <f t="shared" si="38"/>
        <v>-105077.03890776128</v>
      </c>
      <c r="AG68" s="9">
        <f t="shared" si="38"/>
        <v>436828.17579432559</v>
      </c>
      <c r="AH68" s="9">
        <f t="shared" si="38"/>
        <v>448603.24071856262</v>
      </c>
      <c r="AI68" s="9">
        <f t="shared" si="38"/>
        <v>460613.80694128416</v>
      </c>
      <c r="AJ68" s="9">
        <f t="shared" si="38"/>
        <v>472864.58448846044</v>
      </c>
      <c r="AK68" s="9">
        <f t="shared" si="38"/>
        <v>-337370.62241342012</v>
      </c>
      <c r="AL68" s="9">
        <f t="shared" si="38"/>
        <v>498106.08654666209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91F93-9B68-D14D-B24A-31694B69DCC3}">
  <dimension ref="A1:AL68"/>
  <sheetViews>
    <sheetView topLeftCell="A14" workbookViewId="0">
      <selection activeCell="C51" sqref="C51"/>
    </sheetView>
    <sheetView topLeftCell="N1" workbookViewId="1">
      <selection activeCell="E22" sqref="E22:AL22"/>
    </sheetView>
  </sheetViews>
  <sheetFormatPr baseColWidth="10" defaultColWidth="10.6640625" defaultRowHeight="16" x14ac:dyDescent="0.2"/>
  <cols>
    <col min="1" max="1" width="36" bestFit="1" customWidth="1"/>
    <col min="2" max="2" width="20.83203125" customWidth="1"/>
    <col min="4" max="4" width="21.83203125" customWidth="1"/>
    <col min="5" max="5" width="16.33203125" customWidth="1"/>
    <col min="6" max="6" width="36" bestFit="1" customWidth="1"/>
    <col min="7" max="7" width="23.1640625" customWidth="1"/>
    <col min="8" max="8" width="14.33203125" bestFit="1" customWidth="1"/>
    <col min="9" max="9" width="11.6640625" customWidth="1"/>
    <col min="10" max="10" width="16.1640625" customWidth="1"/>
    <col min="11" max="12" width="11" bestFit="1" customWidth="1"/>
    <col min="13" max="13" width="16.1640625" customWidth="1"/>
    <col min="14" max="14" width="14.33203125" bestFit="1" customWidth="1"/>
    <col min="15" max="15" width="12.33203125" bestFit="1" customWidth="1"/>
    <col min="16" max="28" width="11" bestFit="1" customWidth="1"/>
    <col min="29" max="29" width="10.83203125" bestFit="1" customWidth="1"/>
    <col min="30" max="38" width="11" bestFit="1" customWidth="1"/>
  </cols>
  <sheetData>
    <row r="1" spans="1:17" ht="19" x14ac:dyDescent="0.25">
      <c r="A1" s="2" t="s">
        <v>0</v>
      </c>
    </row>
    <row r="2" spans="1:17" x14ac:dyDescent="0.2">
      <c r="A2" t="s">
        <v>1</v>
      </c>
    </row>
    <row r="4" spans="1:17" x14ac:dyDescent="0.2">
      <c r="A4" s="1" t="s">
        <v>2</v>
      </c>
    </row>
    <row r="5" spans="1:17" ht="34" x14ac:dyDescent="0.2">
      <c r="A5" s="7" t="s">
        <v>3</v>
      </c>
      <c r="B5" s="3" t="s">
        <v>112</v>
      </c>
      <c r="D5" s="7" t="s">
        <v>5</v>
      </c>
      <c r="E5" s="3">
        <v>83</v>
      </c>
      <c r="G5" s="7" t="s">
        <v>6</v>
      </c>
      <c r="H5" s="6">
        <v>0.01</v>
      </c>
      <c r="J5" s="7" t="s">
        <v>7</v>
      </c>
      <c r="K5" s="6">
        <v>0.04</v>
      </c>
    </row>
    <row r="6" spans="1:17" ht="34" x14ac:dyDescent="0.2">
      <c r="A6" s="7" t="s">
        <v>8</v>
      </c>
      <c r="B6" s="5">
        <v>-16454620</v>
      </c>
      <c r="D6" s="7" t="s">
        <v>9</v>
      </c>
      <c r="E6" s="3">
        <v>4199</v>
      </c>
      <c r="G6" s="7" t="s">
        <v>10</v>
      </c>
      <c r="H6" s="3">
        <v>40</v>
      </c>
      <c r="J6" s="7" t="s">
        <v>11</v>
      </c>
      <c r="K6" s="3">
        <v>25</v>
      </c>
    </row>
    <row r="7" spans="1:17" ht="34" x14ac:dyDescent="0.2">
      <c r="A7" s="7" t="s">
        <v>12</v>
      </c>
      <c r="B7" s="6">
        <v>0.23</v>
      </c>
      <c r="D7" s="7" t="s">
        <v>13</v>
      </c>
      <c r="E7" s="4">
        <f>B8/E6</f>
        <v>-3185.93470764429</v>
      </c>
      <c r="G7" s="7" t="s">
        <v>14</v>
      </c>
      <c r="H7" s="6">
        <v>0.4</v>
      </c>
      <c r="J7" s="7" t="s">
        <v>15</v>
      </c>
      <c r="K7" s="6">
        <v>0.06</v>
      </c>
    </row>
    <row r="8" spans="1:17" ht="34" x14ac:dyDescent="0.2">
      <c r="A8" s="7" t="s">
        <v>16</v>
      </c>
      <c r="B8" s="4">
        <f>B6/(1+$B$7)</f>
        <v>-13377739.837398374</v>
      </c>
      <c r="D8" s="7" t="s">
        <v>17</v>
      </c>
      <c r="E8" s="6">
        <v>1</v>
      </c>
      <c r="G8" s="7" t="s">
        <v>18</v>
      </c>
      <c r="H8" s="5">
        <v>1980</v>
      </c>
      <c r="J8" s="7" t="s">
        <v>19</v>
      </c>
      <c r="K8" s="3">
        <v>25</v>
      </c>
    </row>
    <row r="9" spans="1:17" ht="34" x14ac:dyDescent="0.2">
      <c r="A9" s="7" t="s">
        <v>89</v>
      </c>
      <c r="B9" s="3" t="s">
        <v>52</v>
      </c>
      <c r="D9" s="7" t="s">
        <v>20</v>
      </c>
      <c r="E9" s="3">
        <v>6893</v>
      </c>
      <c r="G9" s="7" t="s">
        <v>21</v>
      </c>
      <c r="H9" s="5">
        <v>2140</v>
      </c>
    </row>
    <row r="10" spans="1:17" x14ac:dyDescent="0.2">
      <c r="A10" s="7"/>
      <c r="D10" s="7"/>
      <c r="G10" s="7"/>
      <c r="M10" t="s">
        <v>88</v>
      </c>
      <c r="N10" s="4">
        <f>IF($B$9="BOB",N12,N11)</f>
        <v>8367346</v>
      </c>
    </row>
    <row r="11" spans="1:17" ht="51" x14ac:dyDescent="0.2">
      <c r="A11" s="7" t="s">
        <v>22</v>
      </c>
      <c r="B11" s="6">
        <v>0.05</v>
      </c>
      <c r="D11" s="7" t="s">
        <v>23</v>
      </c>
      <c r="E11" s="5">
        <v>7</v>
      </c>
      <c r="G11" s="7" t="s">
        <v>24</v>
      </c>
      <c r="H11" s="4">
        <f>MIN(H9,-$E$7)*$E$6*0.9</f>
        <v>8087274</v>
      </c>
      <c r="I11" s="20"/>
      <c r="J11" s="7" t="s">
        <v>25</v>
      </c>
      <c r="K11" s="3">
        <v>10</v>
      </c>
      <c r="M11" s="7" t="s">
        <v>26</v>
      </c>
      <c r="N11" s="4">
        <f>-B8*(1+$B$12)-H11</f>
        <v>8367346</v>
      </c>
      <c r="O11" s="20"/>
    </row>
    <row r="12" spans="1:17" ht="51" x14ac:dyDescent="0.2">
      <c r="A12" s="7" t="s">
        <v>27</v>
      </c>
      <c r="B12" s="6">
        <v>0.23</v>
      </c>
      <c r="D12" s="7" t="s">
        <v>28</v>
      </c>
      <c r="E12" s="5">
        <v>2.5</v>
      </c>
      <c r="G12" s="7" t="s">
        <v>29</v>
      </c>
      <c r="H12" s="4">
        <f>MIN(H8,-$E$7)*$E$6</f>
        <v>8314020</v>
      </c>
      <c r="I12" s="20"/>
      <c r="J12" s="7" t="s">
        <v>30</v>
      </c>
      <c r="K12" s="13">
        <v>0.05</v>
      </c>
      <c r="M12" s="7" t="s">
        <v>31</v>
      </c>
      <c r="N12" s="4">
        <f>MAX(N13-H12,0)</f>
        <v>0</v>
      </c>
      <c r="O12" s="20"/>
      <c r="P12" s="20"/>
      <c r="Q12" s="21"/>
    </row>
    <row r="13" spans="1:17" ht="34" x14ac:dyDescent="0.2">
      <c r="A13" s="7" t="s">
        <v>32</v>
      </c>
      <c r="B13" s="6">
        <v>0.02</v>
      </c>
      <c r="D13" s="7" t="s">
        <v>33</v>
      </c>
      <c r="E13" s="5">
        <v>1.5</v>
      </c>
      <c r="G13" s="7" t="s">
        <v>34</v>
      </c>
      <c r="H13" s="4">
        <f>(E11+E13)*E6*12</f>
        <v>428298</v>
      </c>
      <c r="J13" s="7" t="s">
        <v>35</v>
      </c>
      <c r="K13" s="13">
        <v>7.0000000000000001E-3</v>
      </c>
      <c r="M13" s="7" t="s">
        <v>36</v>
      </c>
      <c r="N13" s="4">
        <f>MAX((-SUM(E44:AL44)+SUMIFS(E24:AL24,E18:AL18,"&gt;0"))*(1+B11)*(1+K14),0)</f>
        <v>0</v>
      </c>
      <c r="P13" s="23"/>
      <c r="Q13" s="21"/>
    </row>
    <row r="14" spans="1:17" ht="51" x14ac:dyDescent="0.2">
      <c r="A14" s="7" t="s">
        <v>37</v>
      </c>
      <c r="B14" s="3">
        <v>1.5</v>
      </c>
      <c r="D14" s="7" t="s">
        <v>38</v>
      </c>
      <c r="E14" s="5">
        <v>-11.3</v>
      </c>
      <c r="G14" s="7" t="s">
        <v>39</v>
      </c>
      <c r="H14" s="4">
        <f>(E9-E6)*E12*12</f>
        <v>80820</v>
      </c>
      <c r="J14" s="7" t="s">
        <v>40</v>
      </c>
      <c r="K14" s="13">
        <v>0.05</v>
      </c>
      <c r="M14" s="7" t="s">
        <v>41</v>
      </c>
      <c r="N14" s="4">
        <v>-1100</v>
      </c>
    </row>
    <row r="16" spans="1:17" ht="19" x14ac:dyDescent="0.25">
      <c r="A16" s="2" t="s">
        <v>42</v>
      </c>
    </row>
    <row r="17" spans="1:38" ht="19" x14ac:dyDescent="0.25">
      <c r="A17" s="2"/>
    </row>
    <row r="18" spans="1:38" s="14" customFormat="1" x14ac:dyDescent="0.2">
      <c r="A18" s="14" t="s">
        <v>43</v>
      </c>
      <c r="E18" s="14">
        <f>IF(E$19&lt;=ROUNDDOWN($B$14,0),(ROUNDDOWN($B$14,0)/$B$14)/ROUNDDOWN($B$14,0),IF(E$19=ROUNDUP($B$14,0),1-SUM($D$18:D18),0))</f>
        <v>0.66666666666666663</v>
      </c>
      <c r="F18" s="14">
        <f>IF(F$19&lt;=ROUNDDOWN($B$14,0),(ROUNDDOWN($B$14,0)/$B$14)/ROUNDDOWN($B$14,0),IF(F$19=ROUNDUP($B$14,0),1-SUM($D$18:E18),0))</f>
        <v>0.33333333333333337</v>
      </c>
      <c r="G18" s="14">
        <f>IF(G$19&lt;=ROUNDDOWN($B$14,0),(ROUNDDOWN($B$14,0)/$B$14)/ROUNDDOWN($B$14,0),IF(G$19=ROUNDUP($B$14,0),1-SUM($D$18:F18),0))</f>
        <v>0</v>
      </c>
      <c r="H18" s="14">
        <f>IF(H$19&lt;=ROUNDDOWN($B$14,0),(ROUNDDOWN($B$14,0)/$B$14)/ROUNDDOWN($B$14,0),IF(H$19=ROUNDUP($B$14,0),1-SUM($D$18:G18),0))</f>
        <v>0</v>
      </c>
      <c r="I18" s="14">
        <f>IF(I$19&lt;=ROUNDDOWN($B$14,0),(ROUNDDOWN($B$14,0)/$B$14)/ROUNDDOWN($B$14,0),IF(I$19=ROUNDUP($B$14,0),1-SUM($D$18:H18),0))</f>
        <v>0</v>
      </c>
      <c r="J18" s="14">
        <f>IF(J$19&lt;=ROUNDDOWN($B$14,0),(ROUNDDOWN($B$14,0)/$B$14)/ROUNDDOWN($B$14,0),IF(J$19=ROUNDUP($B$14,0),1-SUM($D$18:I18),0))</f>
        <v>0</v>
      </c>
      <c r="K18" s="14">
        <f>IF(K$19&lt;=ROUNDDOWN($B$14,0),(ROUNDDOWN($B$14,0)/$B$14)/ROUNDDOWN($B$14,0),IF(K$19=ROUNDUP($B$14,0),1-SUM($D$18:J18),0))</f>
        <v>0</v>
      </c>
      <c r="L18" s="14">
        <f>IF(L$19&lt;=ROUNDDOWN($B$14,0),(ROUNDDOWN($B$14,0)/$B$14)/ROUNDDOWN($B$14,0),IF(L$19=ROUNDUP($B$14,0),1-SUM($D$18:K18),0))</f>
        <v>0</v>
      </c>
      <c r="M18" s="14">
        <f>IF(M$19&lt;=ROUNDDOWN($B$14,0),(ROUNDDOWN($B$14,0)/$B$14)/ROUNDDOWN($B$14,0),IF(M$19=ROUNDUP($B$14,0),1-SUM($D$18:L18),0))</f>
        <v>0</v>
      </c>
    </row>
    <row r="19" spans="1:38" x14ac:dyDescent="0.2">
      <c r="A19" s="1" t="s">
        <v>44</v>
      </c>
      <c r="B19" s="1" t="s">
        <v>45</v>
      </c>
      <c r="C19" s="1" t="s">
        <v>46</v>
      </c>
      <c r="D19" s="1" t="s">
        <v>47</v>
      </c>
      <c r="E19" s="1">
        <v>1</v>
      </c>
      <c r="F19" s="1">
        <v>2</v>
      </c>
      <c r="G19" s="1">
        <v>3</v>
      </c>
      <c r="H19" s="1">
        <v>4</v>
      </c>
      <c r="I19" s="1">
        <v>5</v>
      </c>
      <c r="J19" s="1">
        <v>6</v>
      </c>
      <c r="K19" s="1">
        <v>7</v>
      </c>
      <c r="L19" s="1">
        <v>8</v>
      </c>
      <c r="M19" s="1">
        <v>9</v>
      </c>
      <c r="N19" s="1">
        <v>10</v>
      </c>
      <c r="O19" s="1">
        <v>11</v>
      </c>
      <c r="P19" s="1">
        <v>12</v>
      </c>
      <c r="Q19" s="1">
        <v>13</v>
      </c>
      <c r="R19" s="1">
        <v>14</v>
      </c>
      <c r="S19" s="1">
        <v>15</v>
      </c>
      <c r="T19" s="1">
        <v>16</v>
      </c>
      <c r="U19" s="1">
        <v>17</v>
      </c>
      <c r="V19" s="1">
        <v>18</v>
      </c>
      <c r="W19" s="1">
        <v>19</v>
      </c>
      <c r="X19" s="1">
        <v>20</v>
      </c>
      <c r="Y19" s="1">
        <v>21</v>
      </c>
      <c r="Z19" s="1">
        <v>22</v>
      </c>
      <c r="AA19" s="1">
        <v>23</v>
      </c>
      <c r="AB19" s="1">
        <v>24</v>
      </c>
      <c r="AC19" s="1">
        <v>25</v>
      </c>
      <c r="AD19" s="1">
        <v>26</v>
      </c>
      <c r="AE19" s="1">
        <v>27</v>
      </c>
      <c r="AF19" s="1">
        <v>28</v>
      </c>
      <c r="AG19" s="1">
        <v>29</v>
      </c>
      <c r="AH19" s="1">
        <v>30</v>
      </c>
      <c r="AI19" s="1">
        <v>31</v>
      </c>
      <c r="AJ19" s="1">
        <v>32</v>
      </c>
      <c r="AK19" s="1">
        <v>33</v>
      </c>
      <c r="AL19" s="1">
        <v>34</v>
      </c>
    </row>
    <row r="20" spans="1:38" x14ac:dyDescent="0.2">
      <c r="A20" s="8" t="s">
        <v>48</v>
      </c>
    </row>
    <row r="21" spans="1:38" x14ac:dyDescent="0.2">
      <c r="A21" t="s">
        <v>49</v>
      </c>
      <c r="B21" t="str">
        <f>$B$9</f>
        <v>HMBA</v>
      </c>
      <c r="C21" t="b">
        <f>B21="BOB"</f>
        <v>0</v>
      </c>
      <c r="D21" s="10">
        <f>E21+NPV($K$5,F21:AK21)</f>
        <v>-16243663.333333332</v>
      </c>
      <c r="E21" s="9">
        <f>IF($B21="BOB",$B$8,$B$6)*E$18</f>
        <v>-10969746.666666666</v>
      </c>
      <c r="F21" s="9">
        <f t="shared" ref="F21:AL21" si="0">IF($B21="BOB",$B$8,$B$6)*F$18</f>
        <v>-5484873.333333334</v>
      </c>
      <c r="G21" s="9">
        <f t="shared" si="0"/>
        <v>0</v>
      </c>
      <c r="H21" s="9">
        <f t="shared" si="0"/>
        <v>0</v>
      </c>
      <c r="I21" s="9">
        <f t="shared" si="0"/>
        <v>0</v>
      </c>
      <c r="J21" s="9">
        <f t="shared" si="0"/>
        <v>0</v>
      </c>
      <c r="K21" s="9">
        <f t="shared" si="0"/>
        <v>0</v>
      </c>
      <c r="L21" s="9">
        <f t="shared" si="0"/>
        <v>0</v>
      </c>
      <c r="M21" s="9">
        <f t="shared" si="0"/>
        <v>0</v>
      </c>
      <c r="N21" s="9">
        <f t="shared" si="0"/>
        <v>0</v>
      </c>
      <c r="O21" s="9">
        <f t="shared" si="0"/>
        <v>0</v>
      </c>
      <c r="P21" s="9">
        <f t="shared" si="0"/>
        <v>0</v>
      </c>
      <c r="Q21" s="9">
        <f t="shared" si="0"/>
        <v>0</v>
      </c>
      <c r="R21" s="9">
        <f t="shared" si="0"/>
        <v>0</v>
      </c>
      <c r="S21" s="9">
        <f t="shared" si="0"/>
        <v>0</v>
      </c>
      <c r="T21" s="9">
        <f t="shared" si="0"/>
        <v>0</v>
      </c>
      <c r="U21" s="9">
        <f t="shared" si="0"/>
        <v>0</v>
      </c>
      <c r="V21" s="9">
        <f t="shared" si="0"/>
        <v>0</v>
      </c>
      <c r="W21" s="9">
        <f t="shared" si="0"/>
        <v>0</v>
      </c>
      <c r="X21" s="9">
        <f t="shared" si="0"/>
        <v>0</v>
      </c>
      <c r="Y21" s="9">
        <f t="shared" si="0"/>
        <v>0</v>
      </c>
      <c r="Z21" s="9">
        <f t="shared" si="0"/>
        <v>0</v>
      </c>
      <c r="AA21" s="9">
        <f t="shared" si="0"/>
        <v>0</v>
      </c>
      <c r="AB21" s="9">
        <f t="shared" si="0"/>
        <v>0</v>
      </c>
      <c r="AC21" s="9">
        <f t="shared" si="0"/>
        <v>0</v>
      </c>
      <c r="AD21" s="9">
        <f t="shared" si="0"/>
        <v>0</v>
      </c>
      <c r="AE21" s="9">
        <f t="shared" si="0"/>
        <v>0</v>
      </c>
      <c r="AF21" s="9">
        <f t="shared" si="0"/>
        <v>0</v>
      </c>
      <c r="AG21" s="9">
        <f t="shared" si="0"/>
        <v>0</v>
      </c>
      <c r="AH21" s="9">
        <f t="shared" si="0"/>
        <v>0</v>
      </c>
      <c r="AI21" s="9">
        <f t="shared" si="0"/>
        <v>0</v>
      </c>
      <c r="AJ21" s="9">
        <f t="shared" si="0"/>
        <v>0</v>
      </c>
      <c r="AK21" s="9">
        <f t="shared" si="0"/>
        <v>0</v>
      </c>
      <c r="AL21" s="9">
        <f t="shared" si="0"/>
        <v>0</v>
      </c>
    </row>
    <row r="22" spans="1:38" x14ac:dyDescent="0.2">
      <c r="A22" t="s">
        <v>51</v>
      </c>
      <c r="B22" t="s">
        <v>52</v>
      </c>
      <c r="C22" t="b">
        <f>B22="BOB"</f>
        <v>0</v>
      </c>
      <c r="D22" s="10">
        <f>E22+NPV($K$5,F22:AK22)</f>
        <v>-1139379.4219594169</v>
      </c>
      <c r="E22" s="9">
        <f>IF(E$19&lt;($K$11+ROUNDUP($B$14,0)),0,IF(MOD(E$19-ROUNDUP($B$14,0),$K$11)=0,$B$6*$K$12*POWER(1+$B$13,E$19-ROUNDUP(E19,0)),0))</f>
        <v>0</v>
      </c>
      <c r="F22" s="9">
        <f t="shared" ref="F22:AL22" si="1">IF(F$19&lt;($K$11+ROUNDUP($B$14,0)),0,IF(MOD(F$19-ROUNDUP($B$14,0),$K$11)=0,$B$6*$K$12*POWER(1+$B$13,F$19-ROUNDUP(F19,0)),0))</f>
        <v>0</v>
      </c>
      <c r="G22" s="9">
        <f t="shared" si="1"/>
        <v>0</v>
      </c>
      <c r="H22" s="9">
        <f t="shared" si="1"/>
        <v>0</v>
      </c>
      <c r="I22" s="9">
        <f t="shared" si="1"/>
        <v>0</v>
      </c>
      <c r="J22" s="9">
        <f t="shared" si="1"/>
        <v>0</v>
      </c>
      <c r="K22" s="9">
        <f t="shared" si="1"/>
        <v>0</v>
      </c>
      <c r="L22" s="9">
        <f t="shared" si="1"/>
        <v>0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-822731</v>
      </c>
      <c r="Q22" s="9">
        <f t="shared" si="1"/>
        <v>0</v>
      </c>
      <c r="R22" s="9">
        <f t="shared" si="1"/>
        <v>0</v>
      </c>
      <c r="S22" s="9">
        <f t="shared" si="1"/>
        <v>0</v>
      </c>
      <c r="T22" s="9">
        <f t="shared" si="1"/>
        <v>0</v>
      </c>
      <c r="U22" s="9">
        <f t="shared" si="1"/>
        <v>0</v>
      </c>
      <c r="V22" s="9">
        <f t="shared" si="1"/>
        <v>0</v>
      </c>
      <c r="W22" s="9">
        <f t="shared" si="1"/>
        <v>0</v>
      </c>
      <c r="X22" s="9">
        <f t="shared" si="1"/>
        <v>0</v>
      </c>
      <c r="Y22" s="9">
        <f t="shared" si="1"/>
        <v>0</v>
      </c>
      <c r="Z22" s="9">
        <f t="shared" si="1"/>
        <v>-822731</v>
      </c>
      <c r="AA22" s="9">
        <f t="shared" si="1"/>
        <v>0</v>
      </c>
      <c r="AB22" s="9">
        <f t="shared" si="1"/>
        <v>0</v>
      </c>
      <c r="AC22" s="9">
        <f t="shared" si="1"/>
        <v>0</v>
      </c>
      <c r="AD22" s="9">
        <f t="shared" si="1"/>
        <v>0</v>
      </c>
      <c r="AE22" s="9">
        <f t="shared" si="1"/>
        <v>0</v>
      </c>
      <c r="AF22" s="9">
        <f t="shared" si="1"/>
        <v>0</v>
      </c>
      <c r="AG22" s="9">
        <f t="shared" si="1"/>
        <v>0</v>
      </c>
      <c r="AH22" s="9">
        <f t="shared" si="1"/>
        <v>0</v>
      </c>
      <c r="AI22" s="9">
        <f t="shared" si="1"/>
        <v>0</v>
      </c>
      <c r="AJ22" s="9">
        <f t="shared" si="1"/>
        <v>-822731</v>
      </c>
      <c r="AK22" s="9">
        <f t="shared" si="1"/>
        <v>0</v>
      </c>
      <c r="AL22" s="9">
        <f t="shared" si="1"/>
        <v>0</v>
      </c>
    </row>
    <row r="23" spans="1:38" x14ac:dyDescent="0.2">
      <c r="D23" s="10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</row>
    <row r="24" spans="1:38" s="16" customFormat="1" x14ac:dyDescent="0.2">
      <c r="A24" s="15" t="s">
        <v>53</v>
      </c>
      <c r="B24" s="15" t="s">
        <v>50</v>
      </c>
      <c r="D24" s="17">
        <f>E24+NPV($K$5,F24:AK24)</f>
        <v>0</v>
      </c>
      <c r="E24" s="18">
        <f t="shared" ref="E24:AL24" si="2">SUMIFS(E$21:E$23,$C$21:$C$23,TRUE)*$B$12</f>
        <v>0</v>
      </c>
      <c r="F24" s="18">
        <f t="shared" si="2"/>
        <v>0</v>
      </c>
      <c r="G24" s="18">
        <f t="shared" si="2"/>
        <v>0</v>
      </c>
      <c r="H24" s="18">
        <f t="shared" si="2"/>
        <v>0</v>
      </c>
      <c r="I24" s="18">
        <f t="shared" si="2"/>
        <v>0</v>
      </c>
      <c r="J24" s="18">
        <f t="shared" si="2"/>
        <v>0</v>
      </c>
      <c r="K24" s="18">
        <f t="shared" si="2"/>
        <v>0</v>
      </c>
      <c r="L24" s="18">
        <f t="shared" si="2"/>
        <v>0</v>
      </c>
      <c r="M24" s="18">
        <f t="shared" si="2"/>
        <v>0</v>
      </c>
      <c r="N24" s="18">
        <f t="shared" si="2"/>
        <v>0</v>
      </c>
      <c r="O24" s="18">
        <f t="shared" si="2"/>
        <v>0</v>
      </c>
      <c r="P24" s="18">
        <f t="shared" si="2"/>
        <v>0</v>
      </c>
      <c r="Q24" s="18">
        <f t="shared" si="2"/>
        <v>0</v>
      </c>
      <c r="R24" s="18">
        <f t="shared" si="2"/>
        <v>0</v>
      </c>
      <c r="S24" s="18">
        <f t="shared" si="2"/>
        <v>0</v>
      </c>
      <c r="T24" s="18">
        <f t="shared" si="2"/>
        <v>0</v>
      </c>
      <c r="U24" s="18">
        <f t="shared" si="2"/>
        <v>0</v>
      </c>
      <c r="V24" s="18">
        <f t="shared" si="2"/>
        <v>0</v>
      </c>
      <c r="W24" s="18">
        <f t="shared" si="2"/>
        <v>0</v>
      </c>
      <c r="X24" s="18">
        <f t="shared" si="2"/>
        <v>0</v>
      </c>
      <c r="Y24" s="18">
        <f t="shared" si="2"/>
        <v>0</v>
      </c>
      <c r="Z24" s="18">
        <f t="shared" si="2"/>
        <v>0</v>
      </c>
      <c r="AA24" s="18">
        <f t="shared" si="2"/>
        <v>0</v>
      </c>
      <c r="AB24" s="18">
        <f t="shared" si="2"/>
        <v>0</v>
      </c>
      <c r="AC24" s="18">
        <f t="shared" si="2"/>
        <v>0</v>
      </c>
      <c r="AD24" s="18">
        <f t="shared" si="2"/>
        <v>0</v>
      </c>
      <c r="AE24" s="18">
        <f t="shared" si="2"/>
        <v>0</v>
      </c>
      <c r="AF24" s="18">
        <f t="shared" si="2"/>
        <v>0</v>
      </c>
      <c r="AG24" s="18">
        <f t="shared" si="2"/>
        <v>0</v>
      </c>
      <c r="AH24" s="18">
        <f t="shared" si="2"/>
        <v>0</v>
      </c>
      <c r="AI24" s="18">
        <f t="shared" si="2"/>
        <v>0</v>
      </c>
      <c r="AJ24" s="18">
        <f t="shared" si="2"/>
        <v>0</v>
      </c>
      <c r="AK24" s="18">
        <f t="shared" si="2"/>
        <v>0</v>
      </c>
      <c r="AL24" s="18">
        <f t="shared" si="2"/>
        <v>0</v>
      </c>
    </row>
    <row r="26" spans="1:38" x14ac:dyDescent="0.2">
      <c r="A26" s="8" t="s">
        <v>54</v>
      </c>
    </row>
    <row r="27" spans="1:38" x14ac:dyDescent="0.2">
      <c r="A27" t="s">
        <v>55</v>
      </c>
      <c r="B27" t="s">
        <v>52</v>
      </c>
      <c r="C27" t="b">
        <v>0</v>
      </c>
      <c r="D27" s="10">
        <f>E27+NPV($K$5,F27:AK27)</f>
        <v>9801401.3107753769</v>
      </c>
      <c r="E27" s="9">
        <f t="shared" ref="E27:F27" si="3">IF(E19&gt;$B$14,$H$13*POWER(1+$B$13,E$19-$B$14),0)*(1-(($B$14-ROUNDDOWN($B$14,0))*IF(E$19=ROUNDUP($B$14,0),1,0)))</f>
        <v>0</v>
      </c>
      <c r="F27" s="9">
        <f t="shared" si="3"/>
        <v>216279.88830453006</v>
      </c>
      <c r="G27" s="9">
        <f>IF(G19&gt;$B$14,$H$13*POWER(1+$B$13,G$19-$B$14),0)*(1-(($B$14-ROUNDDOWN($B$14,0))*IF(G$19=ROUNDUP($B$14,0),1,0)))</f>
        <v>441210.97214124136</v>
      </c>
      <c r="H27" s="9">
        <f t="shared" ref="H27:AL27" si="4">IF(H19&gt;$B$14,$H$13*POWER(1+$B$13,H$19-$B$14),0)*(1-(($B$14-ROUNDDOWN($B$14,0))*IF(H$19=ROUNDUP($B$14,0),1,0)))</f>
        <v>450035.19158406614</v>
      </c>
      <c r="I27" s="9">
        <f t="shared" si="4"/>
        <v>459035.89541574748</v>
      </c>
      <c r="J27" s="9">
        <f t="shared" si="4"/>
        <v>468216.61332406243</v>
      </c>
      <c r="K27" s="9">
        <f t="shared" si="4"/>
        <v>477580.94559054368</v>
      </c>
      <c r="L27" s="9">
        <f t="shared" si="4"/>
        <v>487132.56450235465</v>
      </c>
      <c r="M27" s="9">
        <f t="shared" si="4"/>
        <v>496875.21579240169</v>
      </c>
      <c r="N27" s="9">
        <f t="shared" si="4"/>
        <v>506812.72010824975</v>
      </c>
      <c r="O27" s="9">
        <f t="shared" si="4"/>
        <v>516948.9745104147</v>
      </c>
      <c r="P27" s="9">
        <f t="shared" si="4"/>
        <v>527287.95400062308</v>
      </c>
      <c r="Q27" s="9">
        <f t="shared" si="4"/>
        <v>537833.71308063553</v>
      </c>
      <c r="R27" s="9">
        <f t="shared" si="4"/>
        <v>548590.38734224823</v>
      </c>
      <c r="S27" s="9">
        <f t="shared" si="4"/>
        <v>559562.19508909318</v>
      </c>
      <c r="T27" s="9">
        <f t="shared" si="4"/>
        <v>570753.43899087503</v>
      </c>
      <c r="U27" s="9">
        <f t="shared" si="4"/>
        <v>582168.50777069258</v>
      </c>
      <c r="V27" s="9">
        <f t="shared" si="4"/>
        <v>593811.87792610645</v>
      </c>
      <c r="W27" s="9">
        <f t="shared" si="4"/>
        <v>605688.11548462859</v>
      </c>
      <c r="X27" s="9">
        <f t="shared" si="4"/>
        <v>617801.87779432116</v>
      </c>
      <c r="Y27" s="9">
        <f t="shared" si="4"/>
        <v>630157.91535020759</v>
      </c>
      <c r="Z27" s="9">
        <f t="shared" si="4"/>
        <v>642761.07365721173</v>
      </c>
      <c r="AA27" s="9">
        <f t="shared" si="4"/>
        <v>655616.2951303561</v>
      </c>
      <c r="AB27" s="9">
        <f t="shared" si="4"/>
        <v>668728.62103296316</v>
      </c>
      <c r="AC27" s="9">
        <f t="shared" si="4"/>
        <v>682103.19345362252</v>
      </c>
      <c r="AD27" s="9">
        <f t="shared" si="4"/>
        <v>695745.25732269487</v>
      </c>
      <c r="AE27" s="9">
        <f t="shared" si="4"/>
        <v>709660.16246914887</v>
      </c>
      <c r="AF27" s="9">
        <f t="shared" si="4"/>
        <v>723853.36571853177</v>
      </c>
      <c r="AG27" s="9">
        <f t="shared" si="4"/>
        <v>738330.43303290242</v>
      </c>
      <c r="AH27" s="9">
        <f t="shared" si="4"/>
        <v>753097.04169356055</v>
      </c>
      <c r="AI27" s="9">
        <f t="shared" si="4"/>
        <v>768158.98252743168</v>
      </c>
      <c r="AJ27" s="9">
        <f t="shared" si="4"/>
        <v>783522.1621779803</v>
      </c>
      <c r="AK27" s="9">
        <f t="shared" si="4"/>
        <v>799192.60542153998</v>
      </c>
      <c r="AL27" s="9">
        <f t="shared" si="4"/>
        <v>815176.45752997079</v>
      </c>
    </row>
    <row r="28" spans="1:38" x14ac:dyDescent="0.2">
      <c r="A28" t="s">
        <v>56</v>
      </c>
      <c r="B28" t="s">
        <v>52</v>
      </c>
      <c r="C28" t="b">
        <v>0</v>
      </c>
      <c r="D28" s="10">
        <f>E28+NPV($K$5,F28:AK28)</f>
        <v>1849528.2582147613</v>
      </c>
      <c r="E28" s="9">
        <f>IF(E19&gt;$B$14,$H$14*POWER(1+$B$13,E$19-$B$14),0)*(1-(($B$14-ROUNDDOWN($B$14,0))*IF(E$19=ROUNDUP($B$14,0),1,0)))</f>
        <v>0</v>
      </c>
      <c r="F28" s="9">
        <f t="shared" ref="F28:AL28" si="5">IF(F19&gt;$B$14,$H$14*POWER(1+$B$13,F$19-$B$14),0)*(1-(($B$14-ROUNDDOWN($B$14,0))*IF(F$19=ROUNDUP($B$14,0),1,0)))</f>
        <v>40812.099455921161</v>
      </c>
      <c r="G28" s="9">
        <f t="shared" si="5"/>
        <v>83256.682890079159</v>
      </c>
      <c r="H28" s="9">
        <f t="shared" si="5"/>
        <v>84921.81654788075</v>
      </c>
      <c r="I28" s="9">
        <f t="shared" si="5"/>
        <v>86620.25287883835</v>
      </c>
      <c r="J28" s="9">
        <f t="shared" si="5"/>
        <v>88352.657936415126</v>
      </c>
      <c r="K28" s="9">
        <f t="shared" si="5"/>
        <v>90119.71109514343</v>
      </c>
      <c r="L28" s="9">
        <f t="shared" si="5"/>
        <v>91922.105317046313</v>
      </c>
      <c r="M28" s="9">
        <f t="shared" si="5"/>
        <v>93760.547423387223</v>
      </c>
      <c r="N28" s="9">
        <f t="shared" si="5"/>
        <v>95635.758371854987</v>
      </c>
      <c r="O28" s="9">
        <f t="shared" si="5"/>
        <v>97548.47353929207</v>
      </c>
      <c r="P28" s="9">
        <f t="shared" si="5"/>
        <v>99499.443010077928</v>
      </c>
      <c r="Q28" s="9">
        <f t="shared" si="5"/>
        <v>101489.43187027948</v>
      </c>
      <c r="R28" s="9">
        <f t="shared" si="5"/>
        <v>103519.22050768507</v>
      </c>
      <c r="S28" s="9">
        <f t="shared" si="5"/>
        <v>105589.60491783878</v>
      </c>
      <c r="T28" s="9">
        <f t="shared" si="5"/>
        <v>107701.39701619555</v>
      </c>
      <c r="U28" s="9">
        <f t="shared" si="5"/>
        <v>109855.42495651948</v>
      </c>
      <c r="V28" s="9">
        <f t="shared" si="5"/>
        <v>112052.53345564987</v>
      </c>
      <c r="W28" s="9">
        <f t="shared" si="5"/>
        <v>114293.58412476286</v>
      </c>
      <c r="X28" s="9">
        <f t="shared" si="5"/>
        <v>116579.45580725811</v>
      </c>
      <c r="Y28" s="9">
        <f t="shared" si="5"/>
        <v>118911.04492340329</v>
      </c>
      <c r="Z28" s="9">
        <f t="shared" si="5"/>
        <v>121289.26582187135</v>
      </c>
      <c r="AA28" s="9">
        <f t="shared" si="5"/>
        <v>123715.05113830879</v>
      </c>
      <c r="AB28" s="9">
        <f t="shared" si="5"/>
        <v>126189.35216107496</v>
      </c>
      <c r="AC28" s="9">
        <f t="shared" si="5"/>
        <v>128713.13920429646</v>
      </c>
      <c r="AD28" s="9">
        <f t="shared" si="5"/>
        <v>131287.40198838239</v>
      </c>
      <c r="AE28" s="9">
        <f t="shared" si="5"/>
        <v>133913.15002815003</v>
      </c>
      <c r="AF28" s="9">
        <f t="shared" si="5"/>
        <v>136591.41302871305</v>
      </c>
      <c r="AG28" s="9">
        <f t="shared" si="5"/>
        <v>139323.24128928731</v>
      </c>
      <c r="AH28" s="9">
        <f t="shared" si="5"/>
        <v>142109.70611507306</v>
      </c>
      <c r="AI28" s="9">
        <f t="shared" si="5"/>
        <v>144951.90023737453</v>
      </c>
      <c r="AJ28" s="9">
        <f t="shared" si="5"/>
        <v>147850.93824212201</v>
      </c>
      <c r="AK28" s="9">
        <f t="shared" si="5"/>
        <v>150807.95700696445</v>
      </c>
      <c r="AL28" s="9">
        <f t="shared" si="5"/>
        <v>153824.11614710375</v>
      </c>
    </row>
    <row r="29" spans="1:38" x14ac:dyDescent="0.2">
      <c r="A29" t="s">
        <v>57</v>
      </c>
      <c r="C29" t="b">
        <v>0</v>
      </c>
      <c r="D29" s="10">
        <f>E29+NPV($K$5,F29:AK29)</f>
        <v>-2691821.6347348113</v>
      </c>
      <c r="E29" s="9">
        <f>IF(E27&gt;0,$B$6*$K$13*POWER(1+$B$13,E$19-$B$14),0)</f>
        <v>0</v>
      </c>
      <c r="F29" s="9">
        <f t="shared" ref="F29:AL29" si="6">IF(F27&gt;0,$B$6*$K$13*POWER(1+$B$13,F$19-$B$14),0)</f>
        <v>-116328.46116420999</v>
      </c>
      <c r="G29" s="9">
        <f t="shared" si="6"/>
        <v>-118655.03038749419</v>
      </c>
      <c r="H29" s="9">
        <f t="shared" si="6"/>
        <v>-121028.13099524408</v>
      </c>
      <c r="I29" s="9">
        <f t="shared" si="6"/>
        <v>-123448.69361514895</v>
      </c>
      <c r="J29" s="9">
        <f t="shared" si="6"/>
        <v>-125917.66748745194</v>
      </c>
      <c r="K29" s="9">
        <f t="shared" si="6"/>
        <v>-128436.02083720098</v>
      </c>
      <c r="L29" s="9">
        <f t="shared" si="6"/>
        <v>-131004.74125394502</v>
      </c>
      <c r="M29" s="9">
        <f t="shared" si="6"/>
        <v>-133624.83607902389</v>
      </c>
      <c r="N29" s="9">
        <f t="shared" si="6"/>
        <v>-136297.3328006044</v>
      </c>
      <c r="O29" s="9">
        <f t="shared" si="6"/>
        <v>-139023.27945661647</v>
      </c>
      <c r="P29" s="9">
        <f t="shared" si="6"/>
        <v>-141803.74504574883</v>
      </c>
      <c r="Q29" s="9">
        <f t="shared" si="6"/>
        <v>-144639.8199466638</v>
      </c>
      <c r="R29" s="9">
        <f t="shared" si="6"/>
        <v>-147532.61634559705</v>
      </c>
      <c r="S29" s="9">
        <f t="shared" si="6"/>
        <v>-150483.268672509</v>
      </c>
      <c r="T29" s="9">
        <f t="shared" si="6"/>
        <v>-153492.93404595918</v>
      </c>
      <c r="U29" s="9">
        <f t="shared" si="6"/>
        <v>-156562.7927268784</v>
      </c>
      <c r="V29" s="9">
        <f t="shared" si="6"/>
        <v>-159694.04858141596</v>
      </c>
      <c r="W29" s="9">
        <f t="shared" si="6"/>
        <v>-162887.92955304426</v>
      </c>
      <c r="X29" s="9">
        <f t="shared" si="6"/>
        <v>-166145.68814410514</v>
      </c>
      <c r="Y29" s="9">
        <f t="shared" si="6"/>
        <v>-169468.60190698729</v>
      </c>
      <c r="Z29" s="9">
        <f t="shared" si="6"/>
        <v>-172857.97394512701</v>
      </c>
      <c r="AA29" s="9">
        <f t="shared" si="6"/>
        <v>-176315.13342402957</v>
      </c>
      <c r="AB29" s="9">
        <f t="shared" si="6"/>
        <v>-179841.43609251015</v>
      </c>
      <c r="AC29" s="9">
        <f t="shared" si="6"/>
        <v>-183438.26481436036</v>
      </c>
      <c r="AD29" s="9">
        <f t="shared" si="6"/>
        <v>-187107.03011064755</v>
      </c>
      <c r="AE29" s="9">
        <f t="shared" si="6"/>
        <v>-190849.17071286053</v>
      </c>
      <c r="AF29" s="9">
        <f t="shared" si="6"/>
        <v>-194666.15412711774</v>
      </c>
      <c r="AG29" s="9">
        <f t="shared" si="6"/>
        <v>-198559.47720966008</v>
      </c>
      <c r="AH29" s="9">
        <f t="shared" si="6"/>
        <v>-202530.66675385329</v>
      </c>
      <c r="AI29" s="9">
        <f t="shared" si="6"/>
        <v>-206581.28008893036</v>
      </c>
      <c r="AJ29" s="9">
        <f t="shared" si="6"/>
        <v>-210712.90569070895</v>
      </c>
      <c r="AK29" s="9">
        <f t="shared" si="6"/>
        <v>-214927.16380452318</v>
      </c>
      <c r="AL29" s="9">
        <f t="shared" si="6"/>
        <v>-219225.70708061362</v>
      </c>
    </row>
    <row r="30" spans="1:38" x14ac:dyDescent="0.2">
      <c r="A30" t="s">
        <v>58</v>
      </c>
      <c r="C30" t="b">
        <v>0</v>
      </c>
      <c r="D30" s="10">
        <f>E30+NPV($K$5,F30:AK30)</f>
        <v>1139379.4219594169</v>
      </c>
      <c r="E30" s="9">
        <f>-E22</f>
        <v>0</v>
      </c>
      <c r="F30" s="9">
        <f t="shared" ref="F30:AL30" si="7">-F22</f>
        <v>0</v>
      </c>
      <c r="G30" s="9">
        <f t="shared" si="7"/>
        <v>0</v>
      </c>
      <c r="H30" s="9">
        <f t="shared" si="7"/>
        <v>0</v>
      </c>
      <c r="I30" s="9">
        <f t="shared" si="7"/>
        <v>0</v>
      </c>
      <c r="J30" s="9">
        <f t="shared" si="7"/>
        <v>0</v>
      </c>
      <c r="K30" s="9">
        <f t="shared" si="7"/>
        <v>0</v>
      </c>
      <c r="L30" s="9">
        <f t="shared" si="7"/>
        <v>0</v>
      </c>
      <c r="M30" s="9">
        <f t="shared" si="7"/>
        <v>0</v>
      </c>
      <c r="N30" s="9">
        <f t="shared" si="7"/>
        <v>0</v>
      </c>
      <c r="O30" s="9">
        <f t="shared" si="7"/>
        <v>0</v>
      </c>
      <c r="P30" s="9">
        <f t="shared" si="7"/>
        <v>822731</v>
      </c>
      <c r="Q30" s="9">
        <f t="shared" si="7"/>
        <v>0</v>
      </c>
      <c r="R30" s="9">
        <f t="shared" si="7"/>
        <v>0</v>
      </c>
      <c r="S30" s="9">
        <f t="shared" si="7"/>
        <v>0</v>
      </c>
      <c r="T30" s="9">
        <f t="shared" si="7"/>
        <v>0</v>
      </c>
      <c r="U30" s="9">
        <f t="shared" si="7"/>
        <v>0</v>
      </c>
      <c r="V30" s="9">
        <f t="shared" si="7"/>
        <v>0</v>
      </c>
      <c r="W30" s="9">
        <f t="shared" si="7"/>
        <v>0</v>
      </c>
      <c r="X30" s="9">
        <f t="shared" si="7"/>
        <v>0</v>
      </c>
      <c r="Y30" s="9">
        <f t="shared" si="7"/>
        <v>0</v>
      </c>
      <c r="Z30" s="9">
        <f t="shared" si="7"/>
        <v>822731</v>
      </c>
      <c r="AA30" s="9">
        <f t="shared" si="7"/>
        <v>0</v>
      </c>
      <c r="AB30" s="9">
        <f t="shared" si="7"/>
        <v>0</v>
      </c>
      <c r="AC30" s="9">
        <f t="shared" si="7"/>
        <v>0</v>
      </c>
      <c r="AD30" s="9">
        <f t="shared" si="7"/>
        <v>0</v>
      </c>
      <c r="AE30" s="9">
        <f t="shared" si="7"/>
        <v>0</v>
      </c>
      <c r="AF30" s="9">
        <f t="shared" si="7"/>
        <v>0</v>
      </c>
      <c r="AG30" s="9">
        <f t="shared" si="7"/>
        <v>0</v>
      </c>
      <c r="AH30" s="9">
        <f t="shared" si="7"/>
        <v>0</v>
      </c>
      <c r="AI30" s="9">
        <f t="shared" si="7"/>
        <v>0</v>
      </c>
      <c r="AJ30" s="9">
        <f t="shared" si="7"/>
        <v>822731</v>
      </c>
      <c r="AK30" s="9">
        <f t="shared" si="7"/>
        <v>0</v>
      </c>
      <c r="AL30" s="9">
        <f t="shared" si="7"/>
        <v>0</v>
      </c>
    </row>
    <row r="31" spans="1:38" s="16" customFormat="1" x14ac:dyDescent="0.2">
      <c r="A31" s="15" t="s">
        <v>59</v>
      </c>
      <c r="E31" s="18">
        <v>0</v>
      </c>
      <c r="F31" s="18">
        <f>E31-F29-F30</f>
        <v>116328.46116420999</v>
      </c>
      <c r="G31" s="18">
        <f t="shared" ref="G31:AL31" si="8">F31-G29-G30</f>
        <v>234983.49155170418</v>
      </c>
      <c r="H31" s="18">
        <f t="shared" si="8"/>
        <v>356011.62254694826</v>
      </c>
      <c r="I31" s="18">
        <f t="shared" si="8"/>
        <v>479460.31616209721</v>
      </c>
      <c r="J31" s="18">
        <f t="shared" si="8"/>
        <v>605377.98364954919</v>
      </c>
      <c r="K31" s="18">
        <f t="shared" si="8"/>
        <v>733814.00448675011</v>
      </c>
      <c r="L31" s="18">
        <f t="shared" si="8"/>
        <v>864818.74574069516</v>
      </c>
      <c r="M31" s="18">
        <f t="shared" si="8"/>
        <v>998443.58181971905</v>
      </c>
      <c r="N31" s="18">
        <f t="shared" si="8"/>
        <v>1134740.9146203236</v>
      </c>
      <c r="O31" s="18">
        <f t="shared" si="8"/>
        <v>1273764.19407694</v>
      </c>
      <c r="P31" s="18">
        <f t="shared" si="8"/>
        <v>592836.93912268872</v>
      </c>
      <c r="Q31" s="18">
        <f t="shared" si="8"/>
        <v>737476.75906935253</v>
      </c>
      <c r="R31" s="18">
        <f t="shared" si="8"/>
        <v>885009.37541494961</v>
      </c>
      <c r="S31" s="18">
        <f t="shared" si="8"/>
        <v>1035492.6440874586</v>
      </c>
      <c r="T31" s="18">
        <f t="shared" si="8"/>
        <v>1188985.5781334178</v>
      </c>
      <c r="U31" s="18">
        <f t="shared" si="8"/>
        <v>1345548.3708602961</v>
      </c>
      <c r="V31" s="18">
        <f t="shared" si="8"/>
        <v>1505242.4194417121</v>
      </c>
      <c r="W31" s="18">
        <f t="shared" si="8"/>
        <v>1668130.3489947564</v>
      </c>
      <c r="X31" s="18">
        <f t="shared" si="8"/>
        <v>1834276.0371388616</v>
      </c>
      <c r="Y31" s="18">
        <f t="shared" si="8"/>
        <v>2003744.639045849</v>
      </c>
      <c r="Z31" s="18">
        <f t="shared" si="8"/>
        <v>1353871.6129909758</v>
      </c>
      <c r="AA31" s="18">
        <f t="shared" si="8"/>
        <v>1530186.7464150055</v>
      </c>
      <c r="AB31" s="18">
        <f t="shared" si="8"/>
        <v>1710028.1825075157</v>
      </c>
      <c r="AC31" s="18">
        <f t="shared" si="8"/>
        <v>1893466.447321876</v>
      </c>
      <c r="AD31" s="18">
        <f t="shared" si="8"/>
        <v>2080573.4774325234</v>
      </c>
      <c r="AE31" s="18">
        <f t="shared" si="8"/>
        <v>2271422.6481453842</v>
      </c>
      <c r="AF31" s="18">
        <f t="shared" si="8"/>
        <v>2466088.8022725019</v>
      </c>
      <c r="AG31" s="18">
        <f t="shared" si="8"/>
        <v>2664648.2794821621</v>
      </c>
      <c r="AH31" s="18">
        <f t="shared" si="8"/>
        <v>2867178.9462360153</v>
      </c>
      <c r="AI31" s="18">
        <f t="shared" si="8"/>
        <v>3073760.2263249457</v>
      </c>
      <c r="AJ31" s="18">
        <f t="shared" si="8"/>
        <v>2461742.1320156548</v>
      </c>
      <c r="AK31" s="18">
        <f t="shared" si="8"/>
        <v>2676669.295820178</v>
      </c>
      <c r="AL31" s="18">
        <f t="shared" si="8"/>
        <v>2895895.0029007918</v>
      </c>
    </row>
    <row r="33" spans="1:38" x14ac:dyDescent="0.2">
      <c r="A33" s="8" t="s">
        <v>60</v>
      </c>
    </row>
    <row r="34" spans="1:38" x14ac:dyDescent="0.2">
      <c r="A34" t="s">
        <v>61</v>
      </c>
      <c r="B34" t="s">
        <v>50</v>
      </c>
      <c r="C34" t="b">
        <v>0</v>
      </c>
      <c r="D34" s="10">
        <f t="shared" ref="D34:D40" si="9">E34+NPV($K$5,F34:AK34)</f>
        <v>0</v>
      </c>
      <c r="E34" s="9">
        <f>IF($B$21="BOB",IF(E18&gt;0,-E21-E24,0),0)</f>
        <v>0</v>
      </c>
      <c r="F34" s="9">
        <f t="shared" ref="F34:AL34" si="10">IF($B$21="BOB",IF(F18&gt;0,-F21-F24,0),0)</f>
        <v>0</v>
      </c>
      <c r="G34" s="9">
        <f t="shared" si="10"/>
        <v>0</v>
      </c>
      <c r="H34" s="9">
        <f t="shared" si="10"/>
        <v>0</v>
      </c>
      <c r="I34" s="9">
        <f t="shared" si="10"/>
        <v>0</v>
      </c>
      <c r="J34" s="9">
        <f t="shared" si="10"/>
        <v>0</v>
      </c>
      <c r="K34" s="9">
        <f t="shared" si="10"/>
        <v>0</v>
      </c>
      <c r="L34" s="9">
        <f t="shared" si="10"/>
        <v>0</v>
      </c>
      <c r="M34" s="9">
        <f t="shared" si="10"/>
        <v>0</v>
      </c>
      <c r="N34" s="9">
        <f t="shared" si="10"/>
        <v>0</v>
      </c>
      <c r="O34" s="9">
        <f t="shared" si="10"/>
        <v>0</v>
      </c>
      <c r="P34" s="9">
        <f t="shared" si="10"/>
        <v>0</v>
      </c>
      <c r="Q34" s="9">
        <f t="shared" si="10"/>
        <v>0</v>
      </c>
      <c r="R34" s="9">
        <f t="shared" si="10"/>
        <v>0</v>
      </c>
      <c r="S34" s="9">
        <f t="shared" si="10"/>
        <v>0</v>
      </c>
      <c r="T34" s="9">
        <f t="shared" si="10"/>
        <v>0</v>
      </c>
      <c r="U34" s="9">
        <f t="shared" si="10"/>
        <v>0</v>
      </c>
      <c r="V34" s="9">
        <f t="shared" si="10"/>
        <v>0</v>
      </c>
      <c r="W34" s="9">
        <f t="shared" si="10"/>
        <v>0</v>
      </c>
      <c r="X34" s="9">
        <f t="shared" si="10"/>
        <v>0</v>
      </c>
      <c r="Y34" s="9">
        <f t="shared" si="10"/>
        <v>0</v>
      </c>
      <c r="Z34" s="9">
        <f t="shared" si="10"/>
        <v>0</v>
      </c>
      <c r="AA34" s="9">
        <f t="shared" si="10"/>
        <v>0</v>
      </c>
      <c r="AB34" s="9">
        <f t="shared" si="10"/>
        <v>0</v>
      </c>
      <c r="AC34" s="9">
        <f t="shared" si="10"/>
        <v>0</v>
      </c>
      <c r="AD34" s="9">
        <f t="shared" si="10"/>
        <v>0</v>
      </c>
      <c r="AE34" s="9">
        <f t="shared" si="10"/>
        <v>0</v>
      </c>
      <c r="AF34" s="9">
        <f t="shared" si="10"/>
        <v>0</v>
      </c>
      <c r="AG34" s="9">
        <f t="shared" si="10"/>
        <v>0</v>
      </c>
      <c r="AH34" s="9">
        <f t="shared" si="10"/>
        <v>0</v>
      </c>
      <c r="AI34" s="9">
        <f t="shared" si="10"/>
        <v>0</v>
      </c>
      <c r="AJ34" s="9">
        <f t="shared" si="10"/>
        <v>0</v>
      </c>
      <c r="AK34" s="9">
        <f t="shared" si="10"/>
        <v>0</v>
      </c>
      <c r="AL34" s="9">
        <f t="shared" si="10"/>
        <v>0</v>
      </c>
    </row>
    <row r="35" spans="1:38" x14ac:dyDescent="0.2">
      <c r="A35" t="s">
        <v>62</v>
      </c>
      <c r="B35" t="s">
        <v>52</v>
      </c>
      <c r="C35" t="b">
        <v>0</v>
      </c>
      <c r="D35" s="10">
        <f t="shared" si="9"/>
        <v>3110490</v>
      </c>
      <c r="E35" s="26">
        <f>IF(E$19=ROUNDUP($B$14,0),IF($B$21="BOB",$H$12,$H$11)*$H$7,0)</f>
        <v>0</v>
      </c>
      <c r="F35" s="26">
        <f t="shared" ref="F35:AL35" si="11">IF(F$19=ROUNDUP($B$14,0),IF($B$21="BOB",$H$12,$H$11)*$H$7,0)</f>
        <v>3234909.6</v>
      </c>
      <c r="G35" s="26">
        <f t="shared" si="11"/>
        <v>0</v>
      </c>
      <c r="H35" s="26">
        <f t="shared" si="11"/>
        <v>0</v>
      </c>
      <c r="I35" s="26">
        <f t="shared" si="11"/>
        <v>0</v>
      </c>
      <c r="J35" s="26">
        <f t="shared" si="11"/>
        <v>0</v>
      </c>
      <c r="K35" s="26">
        <f t="shared" si="11"/>
        <v>0</v>
      </c>
      <c r="L35" s="26">
        <f t="shared" si="11"/>
        <v>0</v>
      </c>
      <c r="M35" s="26">
        <f t="shared" si="11"/>
        <v>0</v>
      </c>
      <c r="N35" s="26">
        <f t="shared" si="11"/>
        <v>0</v>
      </c>
      <c r="O35" s="26">
        <f t="shared" si="11"/>
        <v>0</v>
      </c>
      <c r="P35" s="26">
        <f t="shared" si="11"/>
        <v>0</v>
      </c>
      <c r="Q35" s="26">
        <f t="shared" si="11"/>
        <v>0</v>
      </c>
      <c r="R35" s="26">
        <f t="shared" si="11"/>
        <v>0</v>
      </c>
      <c r="S35" s="26">
        <f t="shared" si="11"/>
        <v>0</v>
      </c>
      <c r="T35" s="26">
        <f t="shared" si="11"/>
        <v>0</v>
      </c>
      <c r="U35" s="26">
        <f t="shared" si="11"/>
        <v>0</v>
      </c>
      <c r="V35" s="26">
        <f t="shared" si="11"/>
        <v>0</v>
      </c>
      <c r="W35" s="26">
        <f t="shared" si="11"/>
        <v>0</v>
      </c>
      <c r="X35" s="26">
        <f t="shared" si="11"/>
        <v>0</v>
      </c>
      <c r="Y35" s="26">
        <f t="shared" si="11"/>
        <v>0</v>
      </c>
      <c r="Z35" s="26">
        <f t="shared" si="11"/>
        <v>0</v>
      </c>
      <c r="AA35" s="26">
        <f t="shared" si="11"/>
        <v>0</v>
      </c>
      <c r="AB35" s="26">
        <f t="shared" si="11"/>
        <v>0</v>
      </c>
      <c r="AC35" s="26">
        <f t="shared" si="11"/>
        <v>0</v>
      </c>
      <c r="AD35" s="26">
        <f t="shared" si="11"/>
        <v>0</v>
      </c>
      <c r="AE35" s="26">
        <f t="shared" si="11"/>
        <v>0</v>
      </c>
      <c r="AF35" s="26">
        <f t="shared" si="11"/>
        <v>0</v>
      </c>
      <c r="AG35" s="26">
        <f t="shared" si="11"/>
        <v>0</v>
      </c>
      <c r="AH35" s="26">
        <f t="shared" si="11"/>
        <v>0</v>
      </c>
      <c r="AI35" s="26">
        <f t="shared" si="11"/>
        <v>0</v>
      </c>
      <c r="AJ35" s="26">
        <f t="shared" si="11"/>
        <v>0</v>
      </c>
      <c r="AK35" s="26">
        <f t="shared" si="11"/>
        <v>0</v>
      </c>
      <c r="AL35" s="26">
        <f t="shared" si="11"/>
        <v>0</v>
      </c>
    </row>
    <row r="36" spans="1:38" x14ac:dyDescent="0.2">
      <c r="A36" t="s">
        <v>63</v>
      </c>
      <c r="B36" t="s">
        <v>52</v>
      </c>
      <c r="C36" t="b">
        <v>0</v>
      </c>
      <c r="D36" s="10">
        <f t="shared" si="9"/>
        <v>4665734.9999999991</v>
      </c>
      <c r="E36" s="9">
        <f>IF(E$19=ROUNDUP($B$14,0),IF($B$21="BOB",$H$12,$H$11)*(1-$H$7),0)</f>
        <v>0</v>
      </c>
      <c r="F36" s="9">
        <f t="shared" ref="F36:AL36" si="12">IF(F$19=ROUNDUP($B$14,0),IF($B$21="BOB",$H$12,$H$11)*(1-$H$7),0)</f>
        <v>4852364.3999999994</v>
      </c>
      <c r="G36" s="9">
        <f t="shared" si="12"/>
        <v>0</v>
      </c>
      <c r="H36" s="9">
        <f t="shared" si="12"/>
        <v>0</v>
      </c>
      <c r="I36" s="9">
        <f t="shared" si="12"/>
        <v>0</v>
      </c>
      <c r="J36" s="9">
        <f t="shared" si="12"/>
        <v>0</v>
      </c>
      <c r="K36" s="9">
        <f t="shared" si="12"/>
        <v>0</v>
      </c>
      <c r="L36" s="9">
        <f t="shared" si="12"/>
        <v>0</v>
      </c>
      <c r="M36" s="9">
        <f t="shared" si="12"/>
        <v>0</v>
      </c>
      <c r="N36" s="9">
        <f t="shared" si="12"/>
        <v>0</v>
      </c>
      <c r="O36" s="9">
        <f t="shared" si="12"/>
        <v>0</v>
      </c>
      <c r="P36" s="9">
        <f t="shared" si="12"/>
        <v>0</v>
      </c>
      <c r="Q36" s="9">
        <f t="shared" si="12"/>
        <v>0</v>
      </c>
      <c r="R36" s="9">
        <f t="shared" si="12"/>
        <v>0</v>
      </c>
      <c r="S36" s="9">
        <f t="shared" si="12"/>
        <v>0</v>
      </c>
      <c r="T36" s="9">
        <f t="shared" si="12"/>
        <v>0</v>
      </c>
      <c r="U36" s="9">
        <f t="shared" si="12"/>
        <v>0</v>
      </c>
      <c r="V36" s="9">
        <f t="shared" si="12"/>
        <v>0</v>
      </c>
      <c r="W36" s="9">
        <f t="shared" si="12"/>
        <v>0</v>
      </c>
      <c r="X36" s="9">
        <f t="shared" si="12"/>
        <v>0</v>
      </c>
      <c r="Y36" s="9">
        <f t="shared" si="12"/>
        <v>0</v>
      </c>
      <c r="Z36" s="9">
        <f t="shared" si="12"/>
        <v>0</v>
      </c>
      <c r="AA36" s="9">
        <f t="shared" si="12"/>
        <v>0</v>
      </c>
      <c r="AB36" s="9">
        <f t="shared" si="12"/>
        <v>0</v>
      </c>
      <c r="AC36" s="9">
        <f t="shared" si="12"/>
        <v>0</v>
      </c>
      <c r="AD36" s="9">
        <f t="shared" si="12"/>
        <v>0</v>
      </c>
      <c r="AE36" s="9">
        <f t="shared" si="12"/>
        <v>0</v>
      </c>
      <c r="AF36" s="9">
        <f t="shared" si="12"/>
        <v>0</v>
      </c>
      <c r="AG36" s="9">
        <f t="shared" si="12"/>
        <v>0</v>
      </c>
      <c r="AH36" s="9">
        <f t="shared" si="12"/>
        <v>0</v>
      </c>
      <c r="AI36" s="9">
        <f t="shared" si="12"/>
        <v>0</v>
      </c>
      <c r="AJ36" s="9">
        <f t="shared" si="12"/>
        <v>0</v>
      </c>
      <c r="AK36" s="9">
        <f t="shared" si="12"/>
        <v>0</v>
      </c>
      <c r="AL36" s="9">
        <f t="shared" si="12"/>
        <v>0</v>
      </c>
    </row>
    <row r="37" spans="1:38" x14ac:dyDescent="0.2">
      <c r="A37" t="s">
        <v>64</v>
      </c>
      <c r="B37" t="s">
        <v>52</v>
      </c>
      <c r="C37" t="b">
        <v>0</v>
      </c>
      <c r="D37" s="10">
        <f t="shared" si="9"/>
        <v>8045525</v>
      </c>
      <c r="E37" s="9">
        <f>IF(E$19=ROUNDUP($B$14,0),$N$10,0)</f>
        <v>0</v>
      </c>
      <c r="F37" s="9">
        <f t="shared" ref="F37:AL37" si="13">IF(F$19=ROUNDUP($B$14,0),$N$10,0)</f>
        <v>8367346</v>
      </c>
      <c r="G37" s="9">
        <f t="shared" si="13"/>
        <v>0</v>
      </c>
      <c r="H37" s="9">
        <f t="shared" si="13"/>
        <v>0</v>
      </c>
      <c r="I37" s="9">
        <f t="shared" si="13"/>
        <v>0</v>
      </c>
      <c r="J37" s="9">
        <f t="shared" si="13"/>
        <v>0</v>
      </c>
      <c r="K37" s="9">
        <f t="shared" si="13"/>
        <v>0</v>
      </c>
      <c r="L37" s="9">
        <f t="shared" si="13"/>
        <v>0</v>
      </c>
      <c r="M37" s="9">
        <f t="shared" si="13"/>
        <v>0</v>
      </c>
      <c r="N37" s="9">
        <f t="shared" si="13"/>
        <v>0</v>
      </c>
      <c r="O37" s="9">
        <f t="shared" si="13"/>
        <v>0</v>
      </c>
      <c r="P37" s="9">
        <f t="shared" si="13"/>
        <v>0</v>
      </c>
      <c r="Q37" s="9">
        <f t="shared" si="13"/>
        <v>0</v>
      </c>
      <c r="R37" s="9">
        <f t="shared" si="13"/>
        <v>0</v>
      </c>
      <c r="S37" s="9">
        <f t="shared" si="13"/>
        <v>0</v>
      </c>
      <c r="T37" s="9">
        <f t="shared" si="13"/>
        <v>0</v>
      </c>
      <c r="U37" s="9">
        <f t="shared" si="13"/>
        <v>0</v>
      </c>
      <c r="V37" s="9">
        <f t="shared" si="13"/>
        <v>0</v>
      </c>
      <c r="W37" s="9">
        <f t="shared" si="13"/>
        <v>0</v>
      </c>
      <c r="X37" s="9">
        <f t="shared" si="13"/>
        <v>0</v>
      </c>
      <c r="Y37" s="9">
        <f t="shared" si="13"/>
        <v>0</v>
      </c>
      <c r="Z37" s="9">
        <f t="shared" si="13"/>
        <v>0</v>
      </c>
      <c r="AA37" s="9">
        <f t="shared" si="13"/>
        <v>0</v>
      </c>
      <c r="AB37" s="9">
        <f t="shared" si="13"/>
        <v>0</v>
      </c>
      <c r="AC37" s="9">
        <f t="shared" si="13"/>
        <v>0</v>
      </c>
      <c r="AD37" s="9">
        <f t="shared" si="13"/>
        <v>0</v>
      </c>
      <c r="AE37" s="9">
        <f t="shared" si="13"/>
        <v>0</v>
      </c>
      <c r="AF37" s="9">
        <f t="shared" si="13"/>
        <v>0</v>
      </c>
      <c r="AG37" s="9">
        <f t="shared" si="13"/>
        <v>0</v>
      </c>
      <c r="AH37" s="9">
        <f t="shared" si="13"/>
        <v>0</v>
      </c>
      <c r="AI37" s="9">
        <f t="shared" si="13"/>
        <v>0</v>
      </c>
      <c r="AJ37" s="9">
        <f t="shared" si="13"/>
        <v>0</v>
      </c>
      <c r="AK37" s="9">
        <f t="shared" si="13"/>
        <v>0</v>
      </c>
      <c r="AL37" s="9">
        <f t="shared" si="13"/>
        <v>0</v>
      </c>
    </row>
    <row r="38" spans="1:38" x14ac:dyDescent="0.2">
      <c r="A38" t="s">
        <v>65</v>
      </c>
      <c r="B38" t="s">
        <v>52</v>
      </c>
      <c r="C38" t="b">
        <v>0</v>
      </c>
      <c r="D38" s="10">
        <f t="shared" si="9"/>
        <v>0</v>
      </c>
      <c r="E38" s="9">
        <f>IF($B$21="BOB",IF(E$19=ROUNDUP($B$14,0),-$H$12-$N$12,0),0)</f>
        <v>0</v>
      </c>
      <c r="F38" s="9">
        <f t="shared" ref="F38:AL38" si="14">IF($B$21="BOB",IF(F$19=ROUNDUP($B$14,0),-$H$12-$N$12,0),0)</f>
        <v>0</v>
      </c>
      <c r="G38" s="9">
        <f t="shared" si="14"/>
        <v>0</v>
      </c>
      <c r="H38" s="9">
        <f t="shared" si="14"/>
        <v>0</v>
      </c>
      <c r="I38" s="9">
        <f t="shared" si="14"/>
        <v>0</v>
      </c>
      <c r="J38" s="9">
        <f t="shared" si="14"/>
        <v>0</v>
      </c>
      <c r="K38" s="9">
        <f t="shared" si="14"/>
        <v>0</v>
      </c>
      <c r="L38" s="9">
        <f t="shared" si="14"/>
        <v>0</v>
      </c>
      <c r="M38" s="9">
        <f t="shared" si="14"/>
        <v>0</v>
      </c>
      <c r="N38" s="9">
        <f t="shared" si="14"/>
        <v>0</v>
      </c>
      <c r="O38" s="9">
        <f t="shared" si="14"/>
        <v>0</v>
      </c>
      <c r="P38" s="9">
        <f t="shared" si="14"/>
        <v>0</v>
      </c>
      <c r="Q38" s="9">
        <f t="shared" si="14"/>
        <v>0</v>
      </c>
      <c r="R38" s="9">
        <f t="shared" si="14"/>
        <v>0</v>
      </c>
      <c r="S38" s="9">
        <f t="shared" si="14"/>
        <v>0</v>
      </c>
      <c r="T38" s="9">
        <f t="shared" si="14"/>
        <v>0</v>
      </c>
      <c r="U38" s="9">
        <f t="shared" si="14"/>
        <v>0</v>
      </c>
      <c r="V38" s="9">
        <f t="shared" si="14"/>
        <v>0</v>
      </c>
      <c r="W38" s="9">
        <f t="shared" si="14"/>
        <v>0</v>
      </c>
      <c r="X38" s="9">
        <f t="shared" si="14"/>
        <v>0</v>
      </c>
      <c r="Y38" s="9">
        <f t="shared" si="14"/>
        <v>0</v>
      </c>
      <c r="Z38" s="9">
        <f t="shared" si="14"/>
        <v>0</v>
      </c>
      <c r="AA38" s="9">
        <f t="shared" si="14"/>
        <v>0</v>
      </c>
      <c r="AB38" s="9">
        <f t="shared" si="14"/>
        <v>0</v>
      </c>
      <c r="AC38" s="9">
        <f t="shared" si="14"/>
        <v>0</v>
      </c>
      <c r="AD38" s="9">
        <f t="shared" si="14"/>
        <v>0</v>
      </c>
      <c r="AE38" s="9">
        <f t="shared" si="14"/>
        <v>0</v>
      </c>
      <c r="AF38" s="9">
        <f t="shared" si="14"/>
        <v>0</v>
      </c>
      <c r="AG38" s="9">
        <f t="shared" si="14"/>
        <v>0</v>
      </c>
      <c r="AH38" s="9">
        <f t="shared" si="14"/>
        <v>0</v>
      </c>
      <c r="AI38" s="9">
        <f t="shared" si="14"/>
        <v>0</v>
      </c>
      <c r="AJ38" s="9">
        <f t="shared" si="14"/>
        <v>0</v>
      </c>
      <c r="AK38" s="9">
        <f t="shared" si="14"/>
        <v>0</v>
      </c>
      <c r="AL38" s="9">
        <f t="shared" si="14"/>
        <v>0</v>
      </c>
    </row>
    <row r="39" spans="1:38" x14ac:dyDescent="0.2">
      <c r="A39" t="s">
        <v>66</v>
      </c>
      <c r="B39" t="s">
        <v>50</v>
      </c>
      <c r="C39" t="b">
        <v>1</v>
      </c>
      <c r="D39" s="10">
        <f t="shared" si="9"/>
        <v>0</v>
      </c>
      <c r="E39" s="9">
        <f>-E38/(1+$B$11)</f>
        <v>0</v>
      </c>
      <c r="F39" s="9">
        <f t="shared" ref="F39:AL39" si="15">-F38/(1+$B$11)</f>
        <v>0</v>
      </c>
      <c r="G39" s="9">
        <f t="shared" si="15"/>
        <v>0</v>
      </c>
      <c r="H39" s="9">
        <f t="shared" si="15"/>
        <v>0</v>
      </c>
      <c r="I39" s="9">
        <f t="shared" si="15"/>
        <v>0</v>
      </c>
      <c r="J39" s="9">
        <f t="shared" si="15"/>
        <v>0</v>
      </c>
      <c r="K39" s="9">
        <f t="shared" si="15"/>
        <v>0</v>
      </c>
      <c r="L39" s="9">
        <f t="shared" si="15"/>
        <v>0</v>
      </c>
      <c r="M39" s="9">
        <f t="shared" si="15"/>
        <v>0</v>
      </c>
      <c r="N39" s="9">
        <f t="shared" si="15"/>
        <v>0</v>
      </c>
      <c r="O39" s="9">
        <f t="shared" si="15"/>
        <v>0</v>
      </c>
      <c r="P39" s="9">
        <f t="shared" si="15"/>
        <v>0</v>
      </c>
      <c r="Q39" s="9">
        <f t="shared" si="15"/>
        <v>0</v>
      </c>
      <c r="R39" s="9">
        <f t="shared" si="15"/>
        <v>0</v>
      </c>
      <c r="S39" s="9">
        <f t="shared" si="15"/>
        <v>0</v>
      </c>
      <c r="T39" s="9">
        <f t="shared" si="15"/>
        <v>0</v>
      </c>
      <c r="U39" s="9">
        <f t="shared" si="15"/>
        <v>0</v>
      </c>
      <c r="V39" s="9">
        <f t="shared" si="15"/>
        <v>0</v>
      </c>
      <c r="W39" s="9">
        <f t="shared" si="15"/>
        <v>0</v>
      </c>
      <c r="X39" s="9">
        <f t="shared" si="15"/>
        <v>0</v>
      </c>
      <c r="Y39" s="9">
        <f t="shared" si="15"/>
        <v>0</v>
      </c>
      <c r="Z39" s="9">
        <f t="shared" si="15"/>
        <v>0</v>
      </c>
      <c r="AA39" s="9">
        <f t="shared" si="15"/>
        <v>0</v>
      </c>
      <c r="AB39" s="9">
        <f t="shared" si="15"/>
        <v>0</v>
      </c>
      <c r="AC39" s="9">
        <f t="shared" si="15"/>
        <v>0</v>
      </c>
      <c r="AD39" s="9">
        <f t="shared" si="15"/>
        <v>0</v>
      </c>
      <c r="AE39" s="9">
        <f t="shared" si="15"/>
        <v>0</v>
      </c>
      <c r="AF39" s="9">
        <f t="shared" si="15"/>
        <v>0</v>
      </c>
      <c r="AG39" s="9">
        <f t="shared" si="15"/>
        <v>0</v>
      </c>
      <c r="AH39" s="9">
        <f t="shared" si="15"/>
        <v>0</v>
      </c>
      <c r="AI39" s="9">
        <f t="shared" si="15"/>
        <v>0</v>
      </c>
      <c r="AJ39" s="9">
        <f t="shared" si="15"/>
        <v>0</v>
      </c>
      <c r="AK39" s="9">
        <f t="shared" si="15"/>
        <v>0</v>
      </c>
      <c r="AL39" s="9">
        <f t="shared" si="15"/>
        <v>0</v>
      </c>
    </row>
    <row r="40" spans="1:38" s="16" customFormat="1" x14ac:dyDescent="0.2">
      <c r="A40" s="15" t="s">
        <v>67</v>
      </c>
      <c r="B40" s="15" t="s">
        <v>50</v>
      </c>
      <c r="D40" s="19">
        <f t="shared" si="9"/>
        <v>0</v>
      </c>
      <c r="E40" s="18">
        <f t="shared" ref="E40:AL40" si="16">SUMIFS(E$34:E$39,$C$34:$C$39,TRUE)*$B$11</f>
        <v>0</v>
      </c>
      <c r="F40" s="18">
        <f t="shared" si="16"/>
        <v>0</v>
      </c>
      <c r="G40" s="18">
        <f t="shared" si="16"/>
        <v>0</v>
      </c>
      <c r="H40" s="18">
        <f t="shared" si="16"/>
        <v>0</v>
      </c>
      <c r="I40" s="18">
        <f t="shared" si="16"/>
        <v>0</v>
      </c>
      <c r="J40" s="18">
        <f t="shared" si="16"/>
        <v>0</v>
      </c>
      <c r="K40" s="18">
        <f t="shared" si="16"/>
        <v>0</v>
      </c>
      <c r="L40" s="18">
        <f t="shared" si="16"/>
        <v>0</v>
      </c>
      <c r="M40" s="18">
        <f t="shared" si="16"/>
        <v>0</v>
      </c>
      <c r="N40" s="18">
        <f t="shared" si="16"/>
        <v>0</v>
      </c>
      <c r="O40" s="18">
        <f t="shared" si="16"/>
        <v>0</v>
      </c>
      <c r="P40" s="18">
        <f t="shared" si="16"/>
        <v>0</v>
      </c>
      <c r="Q40" s="18">
        <f t="shared" si="16"/>
        <v>0</v>
      </c>
      <c r="R40" s="18">
        <f t="shared" si="16"/>
        <v>0</v>
      </c>
      <c r="S40" s="18">
        <f t="shared" si="16"/>
        <v>0</v>
      </c>
      <c r="T40" s="18">
        <f t="shared" si="16"/>
        <v>0</v>
      </c>
      <c r="U40" s="18">
        <f t="shared" si="16"/>
        <v>0</v>
      </c>
      <c r="V40" s="18">
        <f t="shared" si="16"/>
        <v>0</v>
      </c>
      <c r="W40" s="18">
        <f t="shared" si="16"/>
        <v>0</v>
      </c>
      <c r="X40" s="18">
        <f t="shared" si="16"/>
        <v>0</v>
      </c>
      <c r="Y40" s="18">
        <f t="shared" si="16"/>
        <v>0</v>
      </c>
      <c r="Z40" s="18">
        <f t="shared" si="16"/>
        <v>0</v>
      </c>
      <c r="AA40" s="18">
        <f t="shared" si="16"/>
        <v>0</v>
      </c>
      <c r="AB40" s="18">
        <f t="shared" si="16"/>
        <v>0</v>
      </c>
      <c r="AC40" s="18">
        <f t="shared" si="16"/>
        <v>0</v>
      </c>
      <c r="AD40" s="18">
        <f t="shared" si="16"/>
        <v>0</v>
      </c>
      <c r="AE40" s="18">
        <f t="shared" si="16"/>
        <v>0</v>
      </c>
      <c r="AF40" s="18">
        <f t="shared" si="16"/>
        <v>0</v>
      </c>
      <c r="AG40" s="18">
        <f t="shared" si="16"/>
        <v>0</v>
      </c>
      <c r="AH40" s="18">
        <f t="shared" si="16"/>
        <v>0</v>
      </c>
      <c r="AI40" s="18">
        <f t="shared" si="16"/>
        <v>0</v>
      </c>
      <c r="AJ40" s="18">
        <f t="shared" si="16"/>
        <v>0</v>
      </c>
      <c r="AK40" s="18">
        <f t="shared" si="16"/>
        <v>0</v>
      </c>
      <c r="AL40" s="18">
        <f t="shared" si="16"/>
        <v>0</v>
      </c>
    </row>
    <row r="41" spans="1:38" s="16" customFormat="1" x14ac:dyDescent="0.2">
      <c r="A41" s="21"/>
      <c r="B41" s="15"/>
      <c r="D41" s="19"/>
      <c r="E41"/>
      <c r="F41" s="22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</row>
    <row r="42" spans="1:38" x14ac:dyDescent="0.2">
      <c r="A42" s="8" t="s">
        <v>68</v>
      </c>
    </row>
    <row r="43" spans="1:38" s="16" customFormat="1" x14ac:dyDescent="0.2">
      <c r="A43" s="15" t="s">
        <v>69</v>
      </c>
      <c r="B43" s="16" t="b">
        <v>0</v>
      </c>
      <c r="C43" s="16" t="b">
        <v>0</v>
      </c>
      <c r="E43" s="18">
        <f>E34*0.5*$K$7*IF(E18=0,0,1)</f>
        <v>0</v>
      </c>
      <c r="F43" s="18">
        <f>(SUM($E$34:E34)+F34*0.5)*$K$7*IF(F18=0,0,1)</f>
        <v>0</v>
      </c>
      <c r="G43" s="18">
        <f>(SUM($E$34:F34)+G34*0.5)*$K$7*IF(G18=0,0,1)</f>
        <v>0</v>
      </c>
      <c r="H43" s="18">
        <f>(SUM($E$34:G34)+H34*0.5)*$K$7*IF(H18=0,0,1)</f>
        <v>0</v>
      </c>
      <c r="I43" s="18">
        <f>(SUM($E$34:H34)+I34*0.5)*$K$7*IF(I18=0,0,1)</f>
        <v>0</v>
      </c>
      <c r="J43" s="18">
        <f>(SUM($E$34:I34)+J34*0.5)*$K$7*IF(J18=0,0,1)</f>
        <v>0</v>
      </c>
      <c r="K43" s="18">
        <f>(SUM($E$34:J34)+K34*0.5)*$K$7*IF(K18=0,0,1)</f>
        <v>0</v>
      </c>
      <c r="L43" s="18">
        <f>(SUM($E$34:K34)+L34*0.5)*$K$7*IF(L18=0,0,1)</f>
        <v>0</v>
      </c>
      <c r="M43" s="18">
        <f>(SUM($E$34:L34)+M34*0.5)*$K$7*IF(M18=0,0,1)</f>
        <v>0</v>
      </c>
      <c r="N43" s="18">
        <f>(SUM($E$34:M34)+N34*0.5)*$K$7*IF(N18=0,0,1)</f>
        <v>0</v>
      </c>
      <c r="O43" s="18">
        <f>(SUM($E$34:N34)+O34*0.5)*$K$7*IF(O18=0,0,1)</f>
        <v>0</v>
      </c>
      <c r="P43" s="18">
        <f>(SUM($E$34:O34)+P34*0.5)*$K$7*IF(P18=0,0,1)</f>
        <v>0</v>
      </c>
      <c r="Q43" s="18">
        <f>(SUM($E$34:P34)+Q34*0.5)*$K$7*IF(Q18=0,0,1)</f>
        <v>0</v>
      </c>
      <c r="R43" s="18">
        <f>(SUM($E$34:Q34)+R34*0.5)*$K$7*IF(R18=0,0,1)</f>
        <v>0</v>
      </c>
      <c r="S43" s="18">
        <f>(SUM($E$34:R34)+S34*0.5)*$K$7*IF(S18=0,0,1)</f>
        <v>0</v>
      </c>
      <c r="T43" s="18">
        <f>(SUM($E$34:S34)+T34*0.5)*$K$7*IF(T18=0,0,1)</f>
        <v>0</v>
      </c>
      <c r="U43" s="18">
        <f>(SUM($E$34:T34)+U34*0.5)*$K$7*IF(U18=0,0,1)</f>
        <v>0</v>
      </c>
      <c r="V43" s="18">
        <f>(SUM($E$34:U34)+V34*0.5)*$K$7*IF(V18=0,0,1)</f>
        <v>0</v>
      </c>
      <c r="W43" s="18">
        <f>(SUM($E$34:V34)+W34*0.5)*$K$7*IF(W18=0,0,1)</f>
        <v>0</v>
      </c>
      <c r="X43" s="18">
        <f>(SUM($E$34:W34)+X34*0.5)*$K$7*IF(X18=0,0,1)</f>
        <v>0</v>
      </c>
      <c r="Y43" s="18">
        <f>(SUM($E$34:X34)+Y34*0.5)*$K$7*IF(Y18=0,0,1)</f>
        <v>0</v>
      </c>
      <c r="Z43" s="18">
        <f>(SUM($E$34:Y34)+Z34*0.5)*$K$7*IF(Z18=0,0,1)</f>
        <v>0</v>
      </c>
      <c r="AA43" s="18">
        <f>(SUM($E$34:Z34)+AA34*0.5)*$K$7*IF(AA18=0,0,1)</f>
        <v>0</v>
      </c>
      <c r="AB43" s="18">
        <f>(SUM($E$34:AA34)+AB34*0.5)*$K$7*IF(AB18=0,0,1)</f>
        <v>0</v>
      </c>
      <c r="AC43" s="18">
        <f>(SUM($E$34:AB34)+AC34*0.5)*$K$7*IF(AC18=0,0,1)</f>
        <v>0</v>
      </c>
      <c r="AD43" s="18">
        <f>(SUM($E$34:AC34)+AD34*0.5)*$K$7*IF(AD18=0,0,1)</f>
        <v>0</v>
      </c>
      <c r="AE43" s="18">
        <f>(SUM($E$34:AD34)+AE34*0.5)*$K$7*IF(AE18=0,0,1)</f>
        <v>0</v>
      </c>
      <c r="AF43" s="18">
        <f>(SUM($E$34:AE34)+AF34*0.5)*$K$7*IF(AF18=0,0,1)</f>
        <v>0</v>
      </c>
      <c r="AG43" s="18">
        <f>(SUM($E$34:AF34)+AG34*0.5)*$K$7*IF(AG18=0,0,1)</f>
        <v>0</v>
      </c>
      <c r="AH43" s="18">
        <f>(SUM($E$34:AG34)+AH34*0.5)*$K$7*IF(AH18=0,0,1)</f>
        <v>0</v>
      </c>
      <c r="AI43" s="18">
        <f>(SUM($E$34:AH34)+AI34*0.5)*$K$7*IF(AI18=0,0,1)</f>
        <v>0</v>
      </c>
      <c r="AJ43" s="18">
        <f>(SUM($E$34:AI34)+AJ34*0.5)*$K$7*IF(AJ18=0,0,1)</f>
        <v>0</v>
      </c>
      <c r="AK43" s="18">
        <f>(SUM($E$34:AJ34)+AK34*0.5)*$K$7*IF(AK18=0,0,1)</f>
        <v>0</v>
      </c>
      <c r="AL43" s="18">
        <f>(SUM($E$34:AK34)+AL34*0.5)*$K$7*IF(AL18=0,0,1)</f>
        <v>0</v>
      </c>
    </row>
    <row r="44" spans="1:38" x14ac:dyDescent="0.2">
      <c r="A44" t="s">
        <v>70</v>
      </c>
      <c r="B44" t="s">
        <v>50</v>
      </c>
      <c r="C44" t="b">
        <v>0</v>
      </c>
      <c r="D44" s="10">
        <f>E44+NPV($K$5,F44:AK44)</f>
        <v>0</v>
      </c>
      <c r="E44" s="9">
        <f t="shared" ref="E44:AL44" si="17">-IF(E19=ROUNDUP($B$14,0),SUM($E$34:$AL$34,$E$43:$AL$43),0)</f>
        <v>0</v>
      </c>
      <c r="F44" s="9">
        <f t="shared" si="17"/>
        <v>0</v>
      </c>
      <c r="G44" s="9">
        <f t="shared" si="17"/>
        <v>0</v>
      </c>
      <c r="H44" s="9">
        <f t="shared" si="17"/>
        <v>0</v>
      </c>
      <c r="I44" s="9">
        <f t="shared" si="17"/>
        <v>0</v>
      </c>
      <c r="J44" s="9">
        <f t="shared" si="17"/>
        <v>0</v>
      </c>
      <c r="K44" s="9">
        <f t="shared" si="17"/>
        <v>0</v>
      </c>
      <c r="L44" s="9">
        <f t="shared" si="17"/>
        <v>0</v>
      </c>
      <c r="M44" s="9">
        <f t="shared" si="17"/>
        <v>0</v>
      </c>
      <c r="N44" s="9">
        <f t="shared" si="17"/>
        <v>0</v>
      </c>
      <c r="O44" s="9">
        <f t="shared" si="17"/>
        <v>0</v>
      </c>
      <c r="P44" s="9">
        <f t="shared" si="17"/>
        <v>0</v>
      </c>
      <c r="Q44" s="9">
        <f t="shared" si="17"/>
        <v>0</v>
      </c>
      <c r="R44" s="9">
        <f t="shared" si="17"/>
        <v>0</v>
      </c>
      <c r="S44" s="9">
        <f t="shared" si="17"/>
        <v>0</v>
      </c>
      <c r="T44" s="9">
        <f t="shared" si="17"/>
        <v>0</v>
      </c>
      <c r="U44" s="9">
        <f t="shared" si="17"/>
        <v>0</v>
      </c>
      <c r="V44" s="9">
        <f t="shared" si="17"/>
        <v>0</v>
      </c>
      <c r="W44" s="9">
        <f t="shared" si="17"/>
        <v>0</v>
      </c>
      <c r="X44" s="9">
        <f t="shared" si="17"/>
        <v>0</v>
      </c>
      <c r="Y44" s="9">
        <f t="shared" si="17"/>
        <v>0</v>
      </c>
      <c r="Z44" s="9">
        <f t="shared" si="17"/>
        <v>0</v>
      </c>
      <c r="AA44" s="9">
        <f t="shared" si="17"/>
        <v>0</v>
      </c>
      <c r="AB44" s="9">
        <f t="shared" si="17"/>
        <v>0</v>
      </c>
      <c r="AC44" s="9">
        <f t="shared" si="17"/>
        <v>0</v>
      </c>
      <c r="AD44" s="9">
        <f t="shared" si="17"/>
        <v>0</v>
      </c>
      <c r="AE44" s="9">
        <f t="shared" si="17"/>
        <v>0</v>
      </c>
      <c r="AF44" s="9">
        <f t="shared" si="17"/>
        <v>0</v>
      </c>
      <c r="AG44" s="9">
        <f t="shared" si="17"/>
        <v>0</v>
      </c>
      <c r="AH44" s="9">
        <f t="shared" si="17"/>
        <v>0</v>
      </c>
      <c r="AI44" s="9">
        <f t="shared" si="17"/>
        <v>0</v>
      </c>
      <c r="AJ44" s="9">
        <f t="shared" si="17"/>
        <v>0</v>
      </c>
      <c r="AK44" s="9">
        <f t="shared" si="17"/>
        <v>0</v>
      </c>
      <c r="AL44" s="9">
        <f t="shared" si="17"/>
        <v>0</v>
      </c>
    </row>
    <row r="45" spans="1:38" x14ac:dyDescent="0.2">
      <c r="A45" t="s">
        <v>71</v>
      </c>
      <c r="B45" t="s">
        <v>52</v>
      </c>
      <c r="C45" t="b">
        <v>0</v>
      </c>
      <c r="D45" s="10">
        <f>E45+NPV($K$5,F45:AK45)</f>
        <v>-4643962.6468972312</v>
      </c>
      <c r="E45" s="9">
        <f>IF(E$19&gt;ROUNDUP($B$14,0),IF(E46&lt;&gt;-0.01,PPMT($K$5,E$19-ROUNDUP($B$14,0),$K$6,$N$10),0.01),0)</f>
        <v>0</v>
      </c>
      <c r="F45" s="9">
        <f t="shared" ref="F45:AL45" si="18">IF(F$19&gt;ROUNDUP($B$14,0),IF(F46&lt;&gt;-0.01,PPMT($K$5,F$19-ROUNDUP($B$14,0),$K$6,$N$10),0.01),0)</f>
        <v>0</v>
      </c>
      <c r="G45" s="9">
        <f t="shared" si="18"/>
        <v>-200916.40077338988</v>
      </c>
      <c r="H45" s="9">
        <f t="shared" si="18"/>
        <v>-208953.05680432543</v>
      </c>
      <c r="I45" s="9">
        <f t="shared" si="18"/>
        <v>-217311.17907649846</v>
      </c>
      <c r="J45" s="9">
        <f t="shared" si="18"/>
        <v>-226003.62623955839</v>
      </c>
      <c r="K45" s="9">
        <f t="shared" si="18"/>
        <v>-235043.77128914074</v>
      </c>
      <c r="L45" s="9">
        <f t="shared" si="18"/>
        <v>-244445.52214070637</v>
      </c>
      <c r="M45" s="9">
        <f t="shared" si="18"/>
        <v>-254223.34302633462</v>
      </c>
      <c r="N45" s="9">
        <f t="shared" si="18"/>
        <v>-264392.27674738801</v>
      </c>
      <c r="O45" s="9">
        <f t="shared" si="18"/>
        <v>-274967.96781728347</v>
      </c>
      <c r="P45" s="9">
        <f t="shared" si="18"/>
        <v>-285966.68652997486</v>
      </c>
      <c r="Q45" s="9">
        <f t="shared" si="18"/>
        <v>-297405.35399117391</v>
      </c>
      <c r="R45" s="9">
        <f t="shared" si="18"/>
        <v>-309301.56815082079</v>
      </c>
      <c r="S45" s="9">
        <f t="shared" si="18"/>
        <v>-321673.6308768536</v>
      </c>
      <c r="T45" s="9">
        <f t="shared" si="18"/>
        <v>-334540.5761119278</v>
      </c>
      <c r="U45" s="9">
        <f t="shared" si="18"/>
        <v>-347922.19915640488</v>
      </c>
      <c r="V45" s="9">
        <f t="shared" si="18"/>
        <v>-361839.08712266112</v>
      </c>
      <c r="W45" s="9">
        <f t="shared" si="18"/>
        <v>-376312.65060756751</v>
      </c>
      <c r="X45" s="9">
        <f t="shared" si="18"/>
        <v>-391365.1566318702</v>
      </c>
      <c r="Y45" s="9">
        <f t="shared" si="18"/>
        <v>-407019.762897145</v>
      </c>
      <c r="Z45" s="9">
        <f t="shared" si="18"/>
        <v>-423300.55341303081</v>
      </c>
      <c r="AA45" s="9">
        <f t="shared" si="18"/>
        <v>-440232.5755495521</v>
      </c>
      <c r="AB45" s="9">
        <f t="shared" si="18"/>
        <v>-457841.87857153418</v>
      </c>
      <c r="AC45" s="9">
        <f t="shared" si="18"/>
        <v>-476155.5537143955</v>
      </c>
      <c r="AD45" s="9">
        <f t="shared" si="18"/>
        <v>-495201.77586297132</v>
      </c>
      <c r="AE45" s="9">
        <f t="shared" si="18"/>
        <v>-515009.84689749021</v>
      </c>
      <c r="AF45" s="9">
        <f t="shared" si="18"/>
        <v>0.01</v>
      </c>
      <c r="AG45" s="9">
        <f t="shared" si="18"/>
        <v>0.01</v>
      </c>
      <c r="AH45" s="9">
        <f t="shared" si="18"/>
        <v>0.01</v>
      </c>
      <c r="AI45" s="9">
        <f t="shared" si="18"/>
        <v>0.01</v>
      </c>
      <c r="AJ45" s="9">
        <f t="shared" si="18"/>
        <v>0.01</v>
      </c>
      <c r="AK45" s="9">
        <f t="shared" si="18"/>
        <v>0.01</v>
      </c>
      <c r="AL45" s="9">
        <f t="shared" si="18"/>
        <v>0.01</v>
      </c>
    </row>
    <row r="46" spans="1:38" x14ac:dyDescent="0.2">
      <c r="A46" t="s">
        <v>72</v>
      </c>
      <c r="B46" t="s">
        <v>52</v>
      </c>
      <c r="C46" t="b">
        <v>0</v>
      </c>
      <c r="D46" s="10">
        <f>E46+NPV($K$5,F46:AK46)</f>
        <v>-3401562.3531027664</v>
      </c>
      <c r="E46" s="9">
        <f>IF(E$19&gt;ROUNDUP($B$14,0),IFERROR(IPMT($K$5,E$19-ROUNDUP($B$14,0),$K$6,$N$10),-0.01),0)</f>
        <v>0</v>
      </c>
      <c r="F46" s="9">
        <f t="shared" ref="F46:AL46" si="19">IF(F$19&gt;ROUNDUP($B$14,0),IFERROR(IPMT($K$5,F$19-ROUNDUP($B$14,0),$K$6,$N$10),-0.01),0)</f>
        <v>0</v>
      </c>
      <c r="G46" s="9">
        <f t="shared" si="19"/>
        <v>-334693.84000000003</v>
      </c>
      <c r="H46" s="9">
        <f t="shared" si="19"/>
        <v>-326657.18396906432</v>
      </c>
      <c r="I46" s="9">
        <f t="shared" si="19"/>
        <v>-318299.06169689132</v>
      </c>
      <c r="J46" s="9">
        <f t="shared" si="19"/>
        <v>-309606.61453383137</v>
      </c>
      <c r="K46" s="9">
        <f t="shared" si="19"/>
        <v>-300566.46948424907</v>
      </c>
      <c r="L46" s="9">
        <f t="shared" si="19"/>
        <v>-291164.71863268345</v>
      </c>
      <c r="M46" s="9">
        <f t="shared" si="19"/>
        <v>-281386.89774705516</v>
      </c>
      <c r="N46" s="9">
        <f t="shared" si="19"/>
        <v>-271217.96402600181</v>
      </c>
      <c r="O46" s="9">
        <f t="shared" si="19"/>
        <v>-260642.27295610626</v>
      </c>
      <c r="P46" s="9">
        <f t="shared" si="19"/>
        <v>-249643.55424341492</v>
      </c>
      <c r="Q46" s="9">
        <f t="shared" si="19"/>
        <v>-238204.886782216</v>
      </c>
      <c r="R46" s="9">
        <f t="shared" si="19"/>
        <v>-226308.67262256899</v>
      </c>
      <c r="S46" s="9">
        <f t="shared" si="19"/>
        <v>-213936.60989653619</v>
      </c>
      <c r="T46" s="9">
        <f t="shared" si="19"/>
        <v>-201069.66466146201</v>
      </c>
      <c r="U46" s="9">
        <f t="shared" si="19"/>
        <v>-187688.0416169849</v>
      </c>
      <c r="V46" s="9">
        <f t="shared" si="19"/>
        <v>-173771.15365072869</v>
      </c>
      <c r="W46" s="9">
        <f t="shared" si="19"/>
        <v>-159297.59016582227</v>
      </c>
      <c r="X46" s="9">
        <f t="shared" si="19"/>
        <v>-144245.08414151956</v>
      </c>
      <c r="Y46" s="9">
        <f t="shared" si="19"/>
        <v>-128590.47787624475</v>
      </c>
      <c r="Z46" s="9">
        <f t="shared" si="19"/>
        <v>-112309.68736035895</v>
      </c>
      <c r="AA46" s="9">
        <f t="shared" si="19"/>
        <v>-95377.665223837714</v>
      </c>
      <c r="AB46" s="9">
        <f t="shared" si="19"/>
        <v>-77768.362201855649</v>
      </c>
      <c r="AC46" s="9">
        <f t="shared" si="19"/>
        <v>-59454.687058994285</v>
      </c>
      <c r="AD46" s="9">
        <f t="shared" si="19"/>
        <v>-40408.464910418457</v>
      </c>
      <c r="AE46" s="9">
        <f t="shared" si="19"/>
        <v>-20600.393875899608</v>
      </c>
      <c r="AF46" s="9">
        <f t="shared" si="19"/>
        <v>-0.01</v>
      </c>
      <c r="AG46" s="9">
        <f t="shared" si="19"/>
        <v>-0.01</v>
      </c>
      <c r="AH46" s="9">
        <f t="shared" si="19"/>
        <v>-0.01</v>
      </c>
      <c r="AI46" s="9">
        <f t="shared" si="19"/>
        <v>-0.01</v>
      </c>
      <c r="AJ46" s="9">
        <f t="shared" si="19"/>
        <v>-0.01</v>
      </c>
      <c r="AK46" s="9">
        <f t="shared" si="19"/>
        <v>-0.01</v>
      </c>
      <c r="AL46" s="9">
        <f t="shared" si="19"/>
        <v>-0.01</v>
      </c>
    </row>
    <row r="47" spans="1:38" x14ac:dyDescent="0.2">
      <c r="A47" t="s">
        <v>73</v>
      </c>
      <c r="B47" t="s">
        <v>52</v>
      </c>
      <c r="C47" t="b">
        <v>0</v>
      </c>
      <c r="D47" s="10">
        <f>E47+NPV($K$5,F47:AK47)</f>
        <v>-1897420.4438236277</v>
      </c>
      <c r="E47" s="9">
        <f>IF(E$19&gt;ROUNDUP($B$14,0),IF(E48&lt;&gt;-0.01,PPMT($H$5,E$19-ROUNDUP($B$14,0),$H$6,IF($B$9="BOB",$H$12,$H$11)*(1-$H$7)),0.01),0)</f>
        <v>0</v>
      </c>
      <c r="F47" s="9">
        <f t="shared" ref="F47:AL47" si="20">IF(F$19&gt;ROUNDUP($B$14,0),IF(F48&lt;&gt;-0.01,PPMT($H$5,F$19-ROUNDUP($B$14,0),$H$6,IF($B$9="BOB",$H$12,$H$11)*(1-$H$7)),0.01),0)</f>
        <v>0</v>
      </c>
      <c r="G47" s="9">
        <f t="shared" si="20"/>
        <v>-99258.015406134349</v>
      </c>
      <c r="H47" s="9">
        <f t="shared" si="20"/>
        <v>-100250.59556019571</v>
      </c>
      <c r="I47" s="9">
        <f t="shared" si="20"/>
        <v>-101253.10151579768</v>
      </c>
      <c r="J47" s="9">
        <f t="shared" si="20"/>
        <v>-102265.63253095564</v>
      </c>
      <c r="K47" s="9">
        <f t="shared" si="20"/>
        <v>-103288.28885626519</v>
      </c>
      <c r="L47" s="9">
        <f t="shared" si="20"/>
        <v>-104321.17174482784</v>
      </c>
      <c r="M47" s="9">
        <f t="shared" si="20"/>
        <v>-105364.38346227612</v>
      </c>
      <c r="N47" s="9">
        <f t="shared" si="20"/>
        <v>-106418.02729689889</v>
      </c>
      <c r="O47" s="9">
        <f t="shared" si="20"/>
        <v>-107482.20756986788</v>
      </c>
      <c r="P47" s="9">
        <f t="shared" si="20"/>
        <v>-108557.02964556655</v>
      </c>
      <c r="Q47" s="9">
        <f t="shared" si="20"/>
        <v>-109642.59994202224</v>
      </c>
      <c r="R47" s="9">
        <f t="shared" si="20"/>
        <v>-110739.02594144244</v>
      </c>
      <c r="S47" s="9">
        <f t="shared" si="20"/>
        <v>-111846.41620085685</v>
      </c>
      <c r="T47" s="9">
        <f t="shared" si="20"/>
        <v>-112964.88036286544</v>
      </c>
      <c r="U47" s="9">
        <f t="shared" si="20"/>
        <v>-114094.52916649409</v>
      </c>
      <c r="V47" s="9">
        <f t="shared" si="20"/>
        <v>-115235.47445815905</v>
      </c>
      <c r="W47" s="9">
        <f t="shared" si="20"/>
        <v>-116387.82920274063</v>
      </c>
      <c r="X47" s="9">
        <f t="shared" si="20"/>
        <v>-117551.70749476802</v>
      </c>
      <c r="Y47" s="9">
        <f t="shared" si="20"/>
        <v>-118727.22456971571</v>
      </c>
      <c r="Z47" s="9">
        <f t="shared" si="20"/>
        <v>-119914.49681541287</v>
      </c>
      <c r="AA47" s="9">
        <f t="shared" si="20"/>
        <v>-121113.64178356699</v>
      </c>
      <c r="AB47" s="9">
        <f t="shared" si="20"/>
        <v>-122324.77820140265</v>
      </c>
      <c r="AC47" s="9">
        <f t="shared" si="20"/>
        <v>-123548.02598341668</v>
      </c>
      <c r="AD47" s="9">
        <f t="shared" si="20"/>
        <v>-124783.50624325086</v>
      </c>
      <c r="AE47" s="9">
        <f t="shared" si="20"/>
        <v>-126031.34130568337</v>
      </c>
      <c r="AF47" s="9">
        <f t="shared" si="20"/>
        <v>-127291.65471874019</v>
      </c>
      <c r="AG47" s="9">
        <f t="shared" si="20"/>
        <v>-128564.57126592759</v>
      </c>
      <c r="AH47" s="9">
        <f t="shared" si="20"/>
        <v>-129850.21697858688</v>
      </c>
      <c r="AI47" s="9">
        <f t="shared" si="20"/>
        <v>-131148.71914837274</v>
      </c>
      <c r="AJ47" s="9">
        <f t="shared" si="20"/>
        <v>-132460.20633985649</v>
      </c>
      <c r="AK47" s="9">
        <f t="shared" si="20"/>
        <v>-133784.80840325504</v>
      </c>
      <c r="AL47" s="9">
        <f t="shared" si="20"/>
        <v>-135122.65648728758</v>
      </c>
    </row>
    <row r="48" spans="1:38" x14ac:dyDescent="0.2">
      <c r="A48" t="s">
        <v>74</v>
      </c>
      <c r="B48" t="s">
        <v>52</v>
      </c>
      <c r="C48" t="b">
        <v>0</v>
      </c>
      <c r="D48" s="10">
        <f>E48+NPV($K$5,F48:AK48)</f>
        <v>-601864.90666126867</v>
      </c>
      <c r="E48" s="9">
        <f>IF(E$19&gt;ROUNDUP($B$14,0),IFERROR(IPMT($H$5,E$19-ROUNDUP($B$14,0),$H$6,IF($B$9="BOB",$H$12,$H$11)*(1-$H$7)),-0.01),0)</f>
        <v>0</v>
      </c>
      <c r="F48" s="9">
        <f t="shared" ref="F48:AL48" si="21">IF(F$19&gt;ROUNDUP($B$14,0),IFERROR(IPMT($H$5,F$19-ROUNDUP($B$14,0),$H$6,IF($B$9="BOB",$H$12,$H$11)*(1-$H$7)),-0.01),0)</f>
        <v>0</v>
      </c>
      <c r="G48" s="9">
        <f t="shared" si="21"/>
        <v>-48523.643999999993</v>
      </c>
      <c r="H48" s="9">
        <f t="shared" si="21"/>
        <v>-47531.063845938661</v>
      </c>
      <c r="I48" s="9">
        <f t="shared" si="21"/>
        <v>-46528.557890336699</v>
      </c>
      <c r="J48" s="9">
        <f t="shared" si="21"/>
        <v>-45516.02687517873</v>
      </c>
      <c r="K48" s="9">
        <f t="shared" si="21"/>
        <v>-44493.370549869163</v>
      </c>
      <c r="L48" s="9">
        <f t="shared" si="21"/>
        <v>-43460.487661306513</v>
      </c>
      <c r="M48" s="9">
        <f t="shared" si="21"/>
        <v>-42417.275943858243</v>
      </c>
      <c r="N48" s="9">
        <f t="shared" si="21"/>
        <v>-41363.632109235477</v>
      </c>
      <c r="O48" s="9">
        <f t="shared" si="21"/>
        <v>-40299.451836266482</v>
      </c>
      <c r="P48" s="9">
        <f t="shared" si="21"/>
        <v>-39224.629760567805</v>
      </c>
      <c r="Q48" s="9">
        <f t="shared" si="21"/>
        <v>-38139.059464112142</v>
      </c>
      <c r="R48" s="9">
        <f t="shared" si="21"/>
        <v>-37042.63346469192</v>
      </c>
      <c r="S48" s="9">
        <f t="shared" si="21"/>
        <v>-35935.243205277497</v>
      </c>
      <c r="T48" s="9">
        <f t="shared" si="21"/>
        <v>-34816.779043268922</v>
      </c>
      <c r="U48" s="9">
        <f t="shared" si="21"/>
        <v>-33687.130239640275</v>
      </c>
      <c r="V48" s="9">
        <f t="shared" si="21"/>
        <v>-32546.184947975333</v>
      </c>
      <c r="W48" s="9">
        <f t="shared" si="21"/>
        <v>-31393.83020339374</v>
      </c>
      <c r="X48" s="9">
        <f t="shared" si="21"/>
        <v>-30229.95191136633</v>
      </c>
      <c r="Y48" s="9">
        <f t="shared" si="21"/>
        <v>-29054.434836418659</v>
      </c>
      <c r="Z48" s="9">
        <f t="shared" si="21"/>
        <v>-27867.162590721498</v>
      </c>
      <c r="AA48" s="9">
        <f t="shared" si="21"/>
        <v>-26668.017622567368</v>
      </c>
      <c r="AB48" s="9">
        <f t="shared" si="21"/>
        <v>-25456.881204731697</v>
      </c>
      <c r="AC48" s="9">
        <f t="shared" si="21"/>
        <v>-24233.633422717667</v>
      </c>
      <c r="AD48" s="9">
        <f t="shared" si="21"/>
        <v>-22998.153162883504</v>
      </c>
      <c r="AE48" s="9">
        <f t="shared" si="21"/>
        <v>-21750.318100450993</v>
      </c>
      <c r="AF48" s="9">
        <f t="shared" si="21"/>
        <v>-20490.004687394157</v>
      </c>
      <c r="AG48" s="9">
        <f t="shared" si="21"/>
        <v>-19217.088140206757</v>
      </c>
      <c r="AH48" s="9">
        <f t="shared" si="21"/>
        <v>-17931.442427547481</v>
      </c>
      <c r="AI48" s="9">
        <f t="shared" si="21"/>
        <v>-16632.940257761613</v>
      </c>
      <c r="AJ48" s="9">
        <f t="shared" si="21"/>
        <v>-15321.453066277883</v>
      </c>
      <c r="AK48" s="9">
        <f t="shared" si="21"/>
        <v>-13996.851002879317</v>
      </c>
      <c r="AL48" s="9">
        <f t="shared" si="21"/>
        <v>-12659.002918846769</v>
      </c>
    </row>
    <row r="50" spans="1:38" x14ac:dyDescent="0.2">
      <c r="A50" s="8" t="s">
        <v>75</v>
      </c>
    </row>
    <row r="51" spans="1:38" s="16" customFormat="1" x14ac:dyDescent="0.2">
      <c r="A51" s="16" t="s">
        <v>76</v>
      </c>
      <c r="C51" s="16" t="b">
        <v>0</v>
      </c>
      <c r="D51" s="19">
        <f t="shared" ref="D51:D52" si="22">E51+NPV($K$5,F51:AK51)</f>
        <v>0</v>
      </c>
      <c r="E51" s="18">
        <v>0</v>
      </c>
      <c r="F51" s="18">
        <f>-E24-E40</f>
        <v>0</v>
      </c>
      <c r="G51" s="18">
        <f>-F24-F40</f>
        <v>0</v>
      </c>
      <c r="H51" s="18">
        <f t="shared" ref="H51:AL51" si="23">-G24-G40</f>
        <v>0</v>
      </c>
      <c r="I51" s="18">
        <f t="shared" si="23"/>
        <v>0</v>
      </c>
      <c r="J51" s="18">
        <f t="shared" si="23"/>
        <v>0</v>
      </c>
      <c r="K51" s="18">
        <f t="shared" si="23"/>
        <v>0</v>
      </c>
      <c r="L51" s="18">
        <f t="shared" si="23"/>
        <v>0</v>
      </c>
      <c r="M51" s="18">
        <f t="shared" si="23"/>
        <v>0</v>
      </c>
      <c r="N51" s="18">
        <f t="shared" si="23"/>
        <v>0</v>
      </c>
      <c r="O51" s="18">
        <f t="shared" si="23"/>
        <v>0</v>
      </c>
      <c r="P51" s="18">
        <f t="shared" si="23"/>
        <v>0</v>
      </c>
      <c r="Q51" s="18">
        <f t="shared" si="23"/>
        <v>0</v>
      </c>
      <c r="R51" s="18">
        <f t="shared" si="23"/>
        <v>0</v>
      </c>
      <c r="S51" s="18">
        <f t="shared" si="23"/>
        <v>0</v>
      </c>
      <c r="T51" s="18">
        <f t="shared" si="23"/>
        <v>0</v>
      </c>
      <c r="U51" s="18">
        <f t="shared" si="23"/>
        <v>0</v>
      </c>
      <c r="V51" s="18">
        <f t="shared" si="23"/>
        <v>0</v>
      </c>
      <c r="W51" s="18">
        <f t="shared" si="23"/>
        <v>0</v>
      </c>
      <c r="X51" s="18">
        <f t="shared" si="23"/>
        <v>0</v>
      </c>
      <c r="Y51" s="18">
        <f t="shared" si="23"/>
        <v>0</v>
      </c>
      <c r="Z51" s="18">
        <f t="shared" si="23"/>
        <v>0</v>
      </c>
      <c r="AA51" s="18">
        <f t="shared" si="23"/>
        <v>0</v>
      </c>
      <c r="AB51" s="18">
        <f t="shared" si="23"/>
        <v>0</v>
      </c>
      <c r="AC51" s="18">
        <f t="shared" si="23"/>
        <v>0</v>
      </c>
      <c r="AD51" s="18">
        <f t="shared" si="23"/>
        <v>0</v>
      </c>
      <c r="AE51" s="18">
        <f t="shared" si="23"/>
        <v>0</v>
      </c>
      <c r="AF51" s="18">
        <f t="shared" si="23"/>
        <v>0</v>
      </c>
      <c r="AG51" s="18">
        <f t="shared" si="23"/>
        <v>0</v>
      </c>
      <c r="AH51" s="18">
        <f t="shared" si="23"/>
        <v>0</v>
      </c>
      <c r="AI51" s="18">
        <f t="shared" si="23"/>
        <v>0</v>
      </c>
      <c r="AJ51" s="18">
        <f t="shared" si="23"/>
        <v>0</v>
      </c>
      <c r="AK51" s="18">
        <f t="shared" si="23"/>
        <v>0</v>
      </c>
      <c r="AL51" s="18">
        <f t="shared" si="23"/>
        <v>0</v>
      </c>
    </row>
    <row r="52" spans="1:38" x14ac:dyDescent="0.2">
      <c r="A52" t="s">
        <v>77</v>
      </c>
      <c r="B52" t="s">
        <v>52</v>
      </c>
      <c r="C52" t="b">
        <v>0</v>
      </c>
      <c r="D52" s="12">
        <f t="shared" si="22"/>
        <v>10089636.813697381</v>
      </c>
      <c r="E52" s="11">
        <f t="shared" ref="E52:AL52" si="24">SUMIFS(E$21:E$40,$B$21:$B$40,$B52)+E51</f>
        <v>-10969746.666666666</v>
      </c>
      <c r="F52" s="11">
        <f t="shared" si="24"/>
        <v>11226838.654427117</v>
      </c>
      <c r="G52" s="11">
        <f t="shared" si="24"/>
        <v>524467.65503132052</v>
      </c>
      <c r="H52" s="11">
        <f t="shared" si="24"/>
        <v>534957.0081319469</v>
      </c>
      <c r="I52" s="11">
        <f t="shared" si="24"/>
        <v>545656.14829458587</v>
      </c>
      <c r="J52" s="11">
        <f t="shared" si="24"/>
        <v>556569.2712604776</v>
      </c>
      <c r="K52" s="11">
        <f t="shared" si="24"/>
        <v>567700.65668568714</v>
      </c>
      <c r="L52" s="11">
        <f t="shared" si="24"/>
        <v>579054.669819401</v>
      </c>
      <c r="M52" s="11">
        <f t="shared" si="24"/>
        <v>590635.76321578887</v>
      </c>
      <c r="N52" s="11">
        <f t="shared" si="24"/>
        <v>602448.47848010471</v>
      </c>
      <c r="O52" s="11">
        <f t="shared" si="24"/>
        <v>614497.44804970676</v>
      </c>
      <c r="P52" s="11">
        <f t="shared" si="24"/>
        <v>-195943.60298929899</v>
      </c>
      <c r="Q52" s="11">
        <f t="shared" si="24"/>
        <v>639323.14495091501</v>
      </c>
      <c r="R52" s="11">
        <f t="shared" si="24"/>
        <v>652109.60784993332</v>
      </c>
      <c r="S52" s="11">
        <f t="shared" si="24"/>
        <v>665151.800006932</v>
      </c>
      <c r="T52" s="11">
        <f t="shared" si="24"/>
        <v>678454.83600707061</v>
      </c>
      <c r="U52" s="11">
        <f t="shared" si="24"/>
        <v>692023.93272721209</v>
      </c>
      <c r="V52" s="11">
        <f t="shared" si="24"/>
        <v>705864.4113817563</v>
      </c>
      <c r="W52" s="11">
        <f t="shared" si="24"/>
        <v>719981.69960939139</v>
      </c>
      <c r="X52" s="11">
        <f t="shared" si="24"/>
        <v>734381.3336015793</v>
      </c>
      <c r="Y52" s="11">
        <f t="shared" si="24"/>
        <v>749068.96027361089</v>
      </c>
      <c r="Z52" s="11">
        <f t="shared" si="24"/>
        <v>-58680.660520916921</v>
      </c>
      <c r="AA52" s="11">
        <f t="shared" si="24"/>
        <v>779331.34626866493</v>
      </c>
      <c r="AB52" s="11">
        <f t="shared" si="24"/>
        <v>794917.97319403815</v>
      </c>
      <c r="AC52" s="11">
        <f t="shared" si="24"/>
        <v>810816.33265791903</v>
      </c>
      <c r="AD52" s="11">
        <f t="shared" si="24"/>
        <v>827032.65931107732</v>
      </c>
      <c r="AE52" s="11">
        <f t="shared" si="24"/>
        <v>843573.31249729893</v>
      </c>
      <c r="AF52" s="11">
        <f t="shared" si="24"/>
        <v>860444.77874724485</v>
      </c>
      <c r="AG52" s="11">
        <f t="shared" si="24"/>
        <v>877653.67432218976</v>
      </c>
      <c r="AH52" s="11">
        <f t="shared" si="24"/>
        <v>895206.74780863361</v>
      </c>
      <c r="AI52" s="11">
        <f t="shared" si="24"/>
        <v>913110.88276480627</v>
      </c>
      <c r="AJ52" s="11">
        <f t="shared" si="24"/>
        <v>108642.1004201023</v>
      </c>
      <c r="AK52" s="11">
        <f t="shared" si="24"/>
        <v>950000.56242850446</v>
      </c>
      <c r="AL52" s="11">
        <f t="shared" si="24"/>
        <v>969000.57367707451</v>
      </c>
    </row>
    <row r="53" spans="1:38" x14ac:dyDescent="0.2">
      <c r="A53" t="s">
        <v>78</v>
      </c>
      <c r="B53" t="s">
        <v>50</v>
      </c>
      <c r="C53" t="b">
        <v>0</v>
      </c>
      <c r="D53" s="10">
        <f>E53+NPV($K$5,F53:AK53)</f>
        <v>0</v>
      </c>
      <c r="E53" s="24">
        <f t="shared" ref="E53:AL53" si="25">IF(E19=ROUNDUP($B$14,0),-MIN(0,E52+E44),0)</f>
        <v>0</v>
      </c>
      <c r="F53" s="24">
        <f t="shared" si="25"/>
        <v>0</v>
      </c>
      <c r="G53" s="24">
        <f t="shared" si="25"/>
        <v>0</v>
      </c>
      <c r="H53" s="24">
        <f t="shared" si="25"/>
        <v>0</v>
      </c>
      <c r="I53" s="24">
        <f t="shared" si="25"/>
        <v>0</v>
      </c>
      <c r="J53" s="24">
        <f t="shared" si="25"/>
        <v>0</v>
      </c>
      <c r="K53" s="24">
        <f t="shared" si="25"/>
        <v>0</v>
      </c>
      <c r="L53" s="24">
        <f t="shared" si="25"/>
        <v>0</v>
      </c>
      <c r="M53" s="24">
        <f t="shared" si="25"/>
        <v>0</v>
      </c>
      <c r="N53" s="24">
        <f t="shared" si="25"/>
        <v>0</v>
      </c>
      <c r="O53" s="24">
        <f t="shared" si="25"/>
        <v>0</v>
      </c>
      <c r="P53" s="24">
        <f t="shared" si="25"/>
        <v>0</v>
      </c>
      <c r="Q53" s="24">
        <f t="shared" si="25"/>
        <v>0</v>
      </c>
      <c r="R53" s="24">
        <f t="shared" si="25"/>
        <v>0</v>
      </c>
      <c r="S53" s="24">
        <f t="shared" si="25"/>
        <v>0</v>
      </c>
      <c r="T53" s="24">
        <f t="shared" si="25"/>
        <v>0</v>
      </c>
      <c r="U53" s="24">
        <f t="shared" si="25"/>
        <v>0</v>
      </c>
      <c r="V53" s="24">
        <f t="shared" si="25"/>
        <v>0</v>
      </c>
      <c r="W53" s="24">
        <f t="shared" si="25"/>
        <v>0</v>
      </c>
      <c r="X53" s="24">
        <f t="shared" si="25"/>
        <v>0</v>
      </c>
      <c r="Y53" s="24">
        <f t="shared" si="25"/>
        <v>0</v>
      </c>
      <c r="Z53" s="24">
        <f t="shared" si="25"/>
        <v>0</v>
      </c>
      <c r="AA53" s="24">
        <f t="shared" si="25"/>
        <v>0</v>
      </c>
      <c r="AB53" s="24">
        <f t="shared" si="25"/>
        <v>0</v>
      </c>
      <c r="AC53" s="24">
        <f t="shared" si="25"/>
        <v>0</v>
      </c>
      <c r="AD53" s="24">
        <f t="shared" si="25"/>
        <v>0</v>
      </c>
      <c r="AE53" s="24">
        <f t="shared" si="25"/>
        <v>0</v>
      </c>
      <c r="AF53" s="24">
        <f t="shared" si="25"/>
        <v>0</v>
      </c>
      <c r="AG53" s="24">
        <f t="shared" si="25"/>
        <v>0</v>
      </c>
      <c r="AH53" s="24">
        <f t="shared" si="25"/>
        <v>0</v>
      </c>
      <c r="AI53" s="24">
        <f t="shared" si="25"/>
        <v>0</v>
      </c>
      <c r="AJ53" s="24">
        <f t="shared" si="25"/>
        <v>0</v>
      </c>
      <c r="AK53" s="24">
        <f t="shared" si="25"/>
        <v>0</v>
      </c>
      <c r="AL53" s="24">
        <f t="shared" si="25"/>
        <v>0</v>
      </c>
    </row>
    <row r="54" spans="1:38" x14ac:dyDescent="0.2">
      <c r="A54" t="s">
        <v>79</v>
      </c>
      <c r="B54" t="s">
        <v>50</v>
      </c>
      <c r="C54" t="b">
        <v>0</v>
      </c>
      <c r="D54" s="10">
        <f>E54+NPV($K$5,F54:AK54)</f>
        <v>1.8907823218080159E-2</v>
      </c>
      <c r="E54" s="9">
        <f t="shared" ref="E54:AL54" si="26">IF(E$19&gt;ROUNDUP($B$14,0),IF(E55&lt;&gt;-0.01,PPMT($K$7,E$19-ROUNDUP($B$14,0),$K$8,SUM($E$53:$AL$53)),0.01),0)</f>
        <v>0</v>
      </c>
      <c r="F54" s="9">
        <f t="shared" si="26"/>
        <v>0</v>
      </c>
      <c r="G54" s="9">
        <f t="shared" si="26"/>
        <v>0</v>
      </c>
      <c r="H54" s="9">
        <f t="shared" si="26"/>
        <v>0</v>
      </c>
      <c r="I54" s="9">
        <f t="shared" si="26"/>
        <v>0</v>
      </c>
      <c r="J54" s="9">
        <f t="shared" si="26"/>
        <v>0</v>
      </c>
      <c r="K54" s="9">
        <f t="shared" si="26"/>
        <v>0</v>
      </c>
      <c r="L54" s="9">
        <f t="shared" si="26"/>
        <v>0</v>
      </c>
      <c r="M54" s="9">
        <f t="shared" si="26"/>
        <v>0</v>
      </c>
      <c r="N54" s="9">
        <f t="shared" si="26"/>
        <v>0</v>
      </c>
      <c r="O54" s="9">
        <f t="shared" si="26"/>
        <v>0</v>
      </c>
      <c r="P54" s="9">
        <f t="shared" si="26"/>
        <v>0</v>
      </c>
      <c r="Q54" s="9">
        <f t="shared" si="26"/>
        <v>0</v>
      </c>
      <c r="R54" s="9">
        <f t="shared" si="26"/>
        <v>0</v>
      </c>
      <c r="S54" s="9">
        <f t="shared" si="26"/>
        <v>0</v>
      </c>
      <c r="T54" s="9">
        <f t="shared" si="26"/>
        <v>0</v>
      </c>
      <c r="U54" s="9">
        <f t="shared" si="26"/>
        <v>0</v>
      </c>
      <c r="V54" s="9">
        <f t="shared" si="26"/>
        <v>0</v>
      </c>
      <c r="W54" s="9">
        <f t="shared" si="26"/>
        <v>0</v>
      </c>
      <c r="X54" s="9">
        <f t="shared" si="26"/>
        <v>0</v>
      </c>
      <c r="Y54" s="9">
        <f t="shared" si="26"/>
        <v>0</v>
      </c>
      <c r="Z54" s="9">
        <f t="shared" si="26"/>
        <v>0</v>
      </c>
      <c r="AA54" s="9">
        <f t="shared" si="26"/>
        <v>0</v>
      </c>
      <c r="AB54" s="9">
        <f t="shared" si="26"/>
        <v>0</v>
      </c>
      <c r="AC54" s="9">
        <f t="shared" si="26"/>
        <v>0</v>
      </c>
      <c r="AD54" s="9">
        <f t="shared" si="26"/>
        <v>0</v>
      </c>
      <c r="AE54" s="9">
        <f t="shared" si="26"/>
        <v>0</v>
      </c>
      <c r="AF54" s="9">
        <f t="shared" si="26"/>
        <v>0.01</v>
      </c>
      <c r="AG54" s="9">
        <f t="shared" si="26"/>
        <v>0.01</v>
      </c>
      <c r="AH54" s="9">
        <f t="shared" si="26"/>
        <v>0.01</v>
      </c>
      <c r="AI54" s="9">
        <f t="shared" si="26"/>
        <v>0.01</v>
      </c>
      <c r="AJ54" s="9">
        <f t="shared" si="26"/>
        <v>0.01</v>
      </c>
      <c r="AK54" s="9">
        <f t="shared" si="26"/>
        <v>0.01</v>
      </c>
      <c r="AL54" s="9">
        <f t="shared" si="26"/>
        <v>0.01</v>
      </c>
    </row>
    <row r="55" spans="1:38" x14ac:dyDescent="0.2">
      <c r="A55" t="s">
        <v>80</v>
      </c>
      <c r="B55" t="s">
        <v>50</v>
      </c>
      <c r="C55" t="b">
        <v>0</v>
      </c>
      <c r="D55" s="10">
        <f>E55+NPV($K$5,F55:AK55)</f>
        <v>-1.8907823218080159E-2</v>
      </c>
      <c r="E55" s="9">
        <f t="shared" ref="E55:AL55" si="27">IF(E$19&gt;ROUNDUP($B$14,0),IFERROR(IPMT($K$7,E$19-ROUNDUP($B$14,0),$K$8,SUM($E$53:$AL$53)),-0.01),0)</f>
        <v>0</v>
      </c>
      <c r="F55" s="9">
        <f t="shared" si="27"/>
        <v>0</v>
      </c>
      <c r="G55" s="9">
        <f t="shared" si="27"/>
        <v>0</v>
      </c>
      <c r="H55" s="9">
        <f t="shared" si="27"/>
        <v>0</v>
      </c>
      <c r="I55" s="9">
        <f t="shared" si="27"/>
        <v>0</v>
      </c>
      <c r="J55" s="9">
        <f t="shared" si="27"/>
        <v>0</v>
      </c>
      <c r="K55" s="9">
        <f t="shared" si="27"/>
        <v>0</v>
      </c>
      <c r="L55" s="9">
        <f t="shared" si="27"/>
        <v>0</v>
      </c>
      <c r="M55" s="9">
        <f t="shared" si="27"/>
        <v>0</v>
      </c>
      <c r="N55" s="9">
        <f t="shared" si="27"/>
        <v>0</v>
      </c>
      <c r="O55" s="9">
        <f t="shared" si="27"/>
        <v>0</v>
      </c>
      <c r="P55" s="9">
        <f t="shared" si="27"/>
        <v>0</v>
      </c>
      <c r="Q55" s="9">
        <f t="shared" si="27"/>
        <v>0</v>
      </c>
      <c r="R55" s="9">
        <f t="shared" si="27"/>
        <v>0</v>
      </c>
      <c r="S55" s="9">
        <f t="shared" si="27"/>
        <v>0</v>
      </c>
      <c r="T55" s="9">
        <f t="shared" si="27"/>
        <v>0</v>
      </c>
      <c r="U55" s="9">
        <f t="shared" si="27"/>
        <v>0</v>
      </c>
      <c r="V55" s="9">
        <f t="shared" si="27"/>
        <v>0</v>
      </c>
      <c r="W55" s="9">
        <f t="shared" si="27"/>
        <v>0</v>
      </c>
      <c r="X55" s="9">
        <f t="shared" si="27"/>
        <v>0</v>
      </c>
      <c r="Y55" s="9">
        <f t="shared" si="27"/>
        <v>0</v>
      </c>
      <c r="Z55" s="9">
        <f t="shared" si="27"/>
        <v>0</v>
      </c>
      <c r="AA55" s="9">
        <f t="shared" si="27"/>
        <v>0</v>
      </c>
      <c r="AB55" s="9">
        <f t="shared" si="27"/>
        <v>0</v>
      </c>
      <c r="AC55" s="9">
        <f t="shared" si="27"/>
        <v>0</v>
      </c>
      <c r="AD55" s="9">
        <f t="shared" si="27"/>
        <v>0</v>
      </c>
      <c r="AE55" s="9">
        <f t="shared" si="27"/>
        <v>0</v>
      </c>
      <c r="AF55" s="9">
        <f t="shared" si="27"/>
        <v>-0.01</v>
      </c>
      <c r="AG55" s="9">
        <f t="shared" si="27"/>
        <v>-0.01</v>
      </c>
      <c r="AH55" s="9">
        <f t="shared" si="27"/>
        <v>-0.01</v>
      </c>
      <c r="AI55" s="9">
        <f t="shared" si="27"/>
        <v>-0.01</v>
      </c>
      <c r="AJ55" s="9">
        <f t="shared" si="27"/>
        <v>-0.01</v>
      </c>
      <c r="AK55" s="9">
        <f t="shared" si="27"/>
        <v>-0.01</v>
      </c>
      <c r="AL55" s="9">
        <f t="shared" si="27"/>
        <v>-0.01</v>
      </c>
    </row>
    <row r="57" spans="1:38" x14ac:dyDescent="0.2">
      <c r="A57" s="8" t="s">
        <v>81</v>
      </c>
    </row>
    <row r="58" spans="1:38" s="25" customFormat="1" x14ac:dyDescent="0.2">
      <c r="A58" s="25" t="s">
        <v>82</v>
      </c>
      <c r="B58" s="25" t="s">
        <v>50</v>
      </c>
      <c r="C58" s="25" t="b">
        <v>0</v>
      </c>
      <c r="D58" s="12">
        <f t="shared" ref="D58:D68" si="28">E58+NPV($K$5,F58:AK58)</f>
        <v>0</v>
      </c>
      <c r="E58" s="11">
        <f t="shared" ref="E58:AL58" si="29">SUMIFS(E$52:E$55,$B$52:$B$55,$B$58)+SUMIFS(E$44:E$48,$B$44:$B$48,$B$58)</f>
        <v>0</v>
      </c>
      <c r="F58" s="11">
        <f t="shared" si="29"/>
        <v>0</v>
      </c>
      <c r="G58" s="11">
        <f t="shared" si="29"/>
        <v>0</v>
      </c>
      <c r="H58" s="11">
        <f t="shared" si="29"/>
        <v>0</v>
      </c>
      <c r="I58" s="11">
        <f t="shared" si="29"/>
        <v>0</v>
      </c>
      <c r="J58" s="11">
        <f t="shared" si="29"/>
        <v>0</v>
      </c>
      <c r="K58" s="11">
        <f t="shared" si="29"/>
        <v>0</v>
      </c>
      <c r="L58" s="11">
        <f t="shared" si="29"/>
        <v>0</v>
      </c>
      <c r="M58" s="11">
        <f t="shared" si="29"/>
        <v>0</v>
      </c>
      <c r="N58" s="11">
        <f t="shared" si="29"/>
        <v>0</v>
      </c>
      <c r="O58" s="11">
        <f t="shared" si="29"/>
        <v>0</v>
      </c>
      <c r="P58" s="11">
        <f t="shared" si="29"/>
        <v>0</v>
      </c>
      <c r="Q58" s="11">
        <f t="shared" si="29"/>
        <v>0</v>
      </c>
      <c r="R58" s="11">
        <f t="shared" si="29"/>
        <v>0</v>
      </c>
      <c r="S58" s="11">
        <f t="shared" si="29"/>
        <v>0</v>
      </c>
      <c r="T58" s="11">
        <f t="shared" si="29"/>
        <v>0</v>
      </c>
      <c r="U58" s="11">
        <f t="shared" si="29"/>
        <v>0</v>
      </c>
      <c r="V58" s="11">
        <f t="shared" si="29"/>
        <v>0</v>
      </c>
      <c r="W58" s="11">
        <f t="shared" si="29"/>
        <v>0</v>
      </c>
      <c r="X58" s="11">
        <f t="shared" si="29"/>
        <v>0</v>
      </c>
      <c r="Y58" s="11">
        <f t="shared" si="29"/>
        <v>0</v>
      </c>
      <c r="Z58" s="11">
        <f t="shared" si="29"/>
        <v>0</v>
      </c>
      <c r="AA58" s="11">
        <f t="shared" si="29"/>
        <v>0</v>
      </c>
      <c r="AB58" s="11">
        <f t="shared" si="29"/>
        <v>0</v>
      </c>
      <c r="AC58" s="11">
        <f t="shared" si="29"/>
        <v>0</v>
      </c>
      <c r="AD58" s="11">
        <f t="shared" si="29"/>
        <v>0</v>
      </c>
      <c r="AE58" s="11">
        <f t="shared" si="29"/>
        <v>0</v>
      </c>
      <c r="AF58" s="11">
        <f t="shared" si="29"/>
        <v>0</v>
      </c>
      <c r="AG58" s="11">
        <f t="shared" si="29"/>
        <v>0</v>
      </c>
      <c r="AH58" s="11">
        <f t="shared" si="29"/>
        <v>0</v>
      </c>
      <c r="AI58" s="11">
        <f t="shared" si="29"/>
        <v>0</v>
      </c>
      <c r="AJ58" s="11">
        <f t="shared" si="29"/>
        <v>0</v>
      </c>
      <c r="AK58" s="11">
        <f t="shared" si="29"/>
        <v>0</v>
      </c>
      <c r="AL58" s="11">
        <f t="shared" si="29"/>
        <v>0</v>
      </c>
    </row>
    <row r="59" spans="1:38" s="25" customFormat="1" x14ac:dyDescent="0.2">
      <c r="A59" s="25" t="s">
        <v>82</v>
      </c>
      <c r="B59" s="25" t="s">
        <v>52</v>
      </c>
      <c r="C59" s="25" t="b">
        <v>0</v>
      </c>
      <c r="D59" s="12">
        <f t="shared" si="28"/>
        <v>-455173.53678750992</v>
      </c>
      <c r="E59" s="11">
        <f t="shared" ref="E59:AL59" si="30">SUMIFS(E$21:E$48,$B$21:$B$48,$B$59)</f>
        <v>-10969746.666666666</v>
      </c>
      <c r="F59" s="11">
        <f t="shared" si="30"/>
        <v>11226838.654427117</v>
      </c>
      <c r="G59" s="11">
        <f t="shared" si="30"/>
        <v>-158924.24514820368</v>
      </c>
      <c r="H59" s="11">
        <f t="shared" si="30"/>
        <v>-148434.89204757722</v>
      </c>
      <c r="I59" s="11">
        <f t="shared" si="30"/>
        <v>-137735.75188493833</v>
      </c>
      <c r="J59" s="11">
        <f t="shared" si="30"/>
        <v>-126822.62891904652</v>
      </c>
      <c r="K59" s="11">
        <f t="shared" si="30"/>
        <v>-115691.24349383704</v>
      </c>
      <c r="L59" s="11">
        <f t="shared" si="30"/>
        <v>-104337.23036012317</v>
      </c>
      <c r="M59" s="11">
        <f t="shared" si="30"/>
        <v>-92756.136963735305</v>
      </c>
      <c r="N59" s="11">
        <f t="shared" si="30"/>
        <v>-80943.421699419472</v>
      </c>
      <c r="O59" s="11">
        <f t="shared" si="30"/>
        <v>-68894.452129817335</v>
      </c>
      <c r="P59" s="11">
        <f t="shared" si="30"/>
        <v>-879335.5031688232</v>
      </c>
      <c r="Q59" s="11">
        <f t="shared" si="30"/>
        <v>-44068.755228609269</v>
      </c>
      <c r="R59" s="11">
        <f t="shared" si="30"/>
        <v>-31282.292329590819</v>
      </c>
      <c r="S59" s="11">
        <f t="shared" si="30"/>
        <v>-18240.100172592138</v>
      </c>
      <c r="T59" s="11">
        <f t="shared" si="30"/>
        <v>-4937.0641724535672</v>
      </c>
      <c r="U59" s="11">
        <f t="shared" si="30"/>
        <v>8632.032547687937</v>
      </c>
      <c r="V59" s="11">
        <f t="shared" si="30"/>
        <v>22472.511202232108</v>
      </c>
      <c r="W59" s="11">
        <f t="shared" si="30"/>
        <v>36589.799429867242</v>
      </c>
      <c r="X59" s="11">
        <f t="shared" si="30"/>
        <v>50989.433422055197</v>
      </c>
      <c r="Y59" s="11">
        <f t="shared" si="30"/>
        <v>65677.060094086773</v>
      </c>
      <c r="Z59" s="11">
        <f t="shared" si="30"/>
        <v>-742072.56070044101</v>
      </c>
      <c r="AA59" s="11">
        <f t="shared" si="30"/>
        <v>95939.446089140765</v>
      </c>
      <c r="AB59" s="11">
        <f t="shared" si="30"/>
        <v>111526.073014514</v>
      </c>
      <c r="AC59" s="11">
        <f t="shared" si="30"/>
        <v>127424.43247839487</v>
      </c>
      <c r="AD59" s="11">
        <f t="shared" si="30"/>
        <v>143640.7591315532</v>
      </c>
      <c r="AE59" s="11">
        <f t="shared" si="30"/>
        <v>160181.41231777475</v>
      </c>
      <c r="AF59" s="11">
        <f t="shared" si="30"/>
        <v>712663.11934111058</v>
      </c>
      <c r="AG59" s="11">
        <f t="shared" si="30"/>
        <v>729872.01491605537</v>
      </c>
      <c r="AH59" s="11">
        <f t="shared" si="30"/>
        <v>747425.08840249921</v>
      </c>
      <c r="AI59" s="11">
        <f t="shared" si="30"/>
        <v>765329.22335867188</v>
      </c>
      <c r="AJ59" s="11">
        <f t="shared" si="30"/>
        <v>-39139.558986032076</v>
      </c>
      <c r="AK59" s="11">
        <f t="shared" si="30"/>
        <v>802218.90302237007</v>
      </c>
      <c r="AL59" s="11">
        <f t="shared" si="30"/>
        <v>821218.91427094012</v>
      </c>
    </row>
    <row r="60" spans="1:38" x14ac:dyDescent="0.2">
      <c r="A60" t="s">
        <v>83</v>
      </c>
      <c r="B60" t="s">
        <v>52</v>
      </c>
      <c r="C60" t="b">
        <v>0</v>
      </c>
      <c r="D60" s="10">
        <f t="shared" si="28"/>
        <v>0</v>
      </c>
      <c r="E60" s="9">
        <f>IF($B$9="BOB",IF(E$18=0,E58,IF(F$18=0,(F58/(1+$B$13))*(ROUNDUP($B$14,0)-$B$14),0))*(1+$K$14),0)</f>
        <v>0</v>
      </c>
      <c r="F60" s="9">
        <f t="shared" ref="F60:AL60" si="31">IF($B$9="BOB",IF(F$18=0,F58,IF(G$18=0,(G58/(1+$B$13))*(ROUNDUP($B$14,0)-$B$14),0))*(1+$K$14),0)</f>
        <v>0</v>
      </c>
      <c r="G60" s="9">
        <f t="shared" si="31"/>
        <v>0</v>
      </c>
      <c r="H60" s="9">
        <f t="shared" si="31"/>
        <v>0</v>
      </c>
      <c r="I60" s="9">
        <f t="shared" si="31"/>
        <v>0</v>
      </c>
      <c r="J60" s="9">
        <f t="shared" si="31"/>
        <v>0</v>
      </c>
      <c r="K60" s="9">
        <f t="shared" si="31"/>
        <v>0</v>
      </c>
      <c r="L60" s="9">
        <f t="shared" si="31"/>
        <v>0</v>
      </c>
      <c r="M60" s="9">
        <f t="shared" si="31"/>
        <v>0</v>
      </c>
      <c r="N60" s="9">
        <f t="shared" si="31"/>
        <v>0</v>
      </c>
      <c r="O60" s="9">
        <f t="shared" si="31"/>
        <v>0</v>
      </c>
      <c r="P60" s="9">
        <f t="shared" si="31"/>
        <v>0</v>
      </c>
      <c r="Q60" s="9">
        <f t="shared" si="31"/>
        <v>0</v>
      </c>
      <c r="R60" s="9">
        <f t="shared" si="31"/>
        <v>0</v>
      </c>
      <c r="S60" s="9">
        <f t="shared" si="31"/>
        <v>0</v>
      </c>
      <c r="T60" s="9">
        <f t="shared" si="31"/>
        <v>0</v>
      </c>
      <c r="U60" s="9">
        <f t="shared" si="31"/>
        <v>0</v>
      </c>
      <c r="V60" s="9">
        <f t="shared" si="31"/>
        <v>0</v>
      </c>
      <c r="W60" s="9">
        <f t="shared" si="31"/>
        <v>0</v>
      </c>
      <c r="X60" s="9">
        <f t="shared" si="31"/>
        <v>0</v>
      </c>
      <c r="Y60" s="9">
        <f t="shared" si="31"/>
        <v>0</v>
      </c>
      <c r="Z60" s="9">
        <f t="shared" si="31"/>
        <v>0</v>
      </c>
      <c r="AA60" s="9">
        <f t="shared" si="31"/>
        <v>0</v>
      </c>
      <c r="AB60" s="9">
        <f t="shared" si="31"/>
        <v>0</v>
      </c>
      <c r="AC60" s="9">
        <f t="shared" si="31"/>
        <v>0</v>
      </c>
      <c r="AD60" s="9">
        <f t="shared" si="31"/>
        <v>0</v>
      </c>
      <c r="AE60" s="9">
        <f t="shared" si="31"/>
        <v>0</v>
      </c>
      <c r="AF60" s="9">
        <f t="shared" si="31"/>
        <v>0</v>
      </c>
      <c r="AG60" s="9">
        <f t="shared" si="31"/>
        <v>0</v>
      </c>
      <c r="AH60" s="9">
        <f t="shared" si="31"/>
        <v>0</v>
      </c>
      <c r="AI60" s="9">
        <f t="shared" si="31"/>
        <v>0</v>
      </c>
      <c r="AJ60" s="9">
        <f t="shared" si="31"/>
        <v>0</v>
      </c>
      <c r="AK60" s="9">
        <f t="shared" si="31"/>
        <v>0</v>
      </c>
      <c r="AL60" s="9">
        <f t="shared" si="31"/>
        <v>0</v>
      </c>
    </row>
    <row r="61" spans="1:38" x14ac:dyDescent="0.2">
      <c r="A61" t="s">
        <v>84</v>
      </c>
      <c r="B61" t="s">
        <v>52</v>
      </c>
      <c r="C61" t="b">
        <f>B61="BOB"</f>
        <v>0</v>
      </c>
      <c r="D61" s="10">
        <f t="shared" si="28"/>
        <v>0</v>
      </c>
      <c r="E61" s="9">
        <f>-E60/(1+$B$11)</f>
        <v>0</v>
      </c>
      <c r="F61" s="9">
        <f t="shared" ref="F61:AL61" si="32">-F60/(1+$B$11)</f>
        <v>0</v>
      </c>
      <c r="G61" s="9">
        <f>-G60/(1+$B$11)</f>
        <v>0</v>
      </c>
      <c r="H61" s="9">
        <f t="shared" si="32"/>
        <v>0</v>
      </c>
      <c r="I61" s="9">
        <f t="shared" si="32"/>
        <v>0</v>
      </c>
      <c r="J61" s="9">
        <f t="shared" si="32"/>
        <v>0</v>
      </c>
      <c r="K61" s="9">
        <f t="shared" si="32"/>
        <v>0</v>
      </c>
      <c r="L61" s="9">
        <f t="shared" si="32"/>
        <v>0</v>
      </c>
      <c r="M61" s="9">
        <f t="shared" si="32"/>
        <v>0</v>
      </c>
      <c r="N61" s="9">
        <f t="shared" si="32"/>
        <v>0</v>
      </c>
      <c r="O61" s="9">
        <f t="shared" si="32"/>
        <v>0</v>
      </c>
      <c r="P61" s="9">
        <f t="shared" si="32"/>
        <v>0</v>
      </c>
      <c r="Q61" s="9">
        <f t="shared" si="32"/>
        <v>0</v>
      </c>
      <c r="R61" s="9">
        <f t="shared" si="32"/>
        <v>0</v>
      </c>
      <c r="S61" s="9">
        <f t="shared" si="32"/>
        <v>0</v>
      </c>
      <c r="T61" s="9">
        <f t="shared" si="32"/>
        <v>0</v>
      </c>
      <c r="U61" s="9">
        <f t="shared" si="32"/>
        <v>0</v>
      </c>
      <c r="V61" s="9">
        <f t="shared" si="32"/>
        <v>0</v>
      </c>
      <c r="W61" s="9">
        <f t="shared" si="32"/>
        <v>0</v>
      </c>
      <c r="X61" s="9">
        <f t="shared" si="32"/>
        <v>0</v>
      </c>
      <c r="Y61" s="9">
        <f t="shared" si="32"/>
        <v>0</v>
      </c>
      <c r="Z61" s="9">
        <f t="shared" si="32"/>
        <v>0</v>
      </c>
      <c r="AA61" s="9">
        <f t="shared" si="32"/>
        <v>0</v>
      </c>
      <c r="AB61" s="9">
        <f t="shared" si="32"/>
        <v>0</v>
      </c>
      <c r="AC61" s="9">
        <f t="shared" si="32"/>
        <v>0</v>
      </c>
      <c r="AD61" s="9">
        <f t="shared" si="32"/>
        <v>0</v>
      </c>
      <c r="AE61" s="9">
        <f t="shared" si="32"/>
        <v>0</v>
      </c>
      <c r="AF61" s="9">
        <f t="shared" si="32"/>
        <v>0</v>
      </c>
      <c r="AG61" s="9">
        <f t="shared" si="32"/>
        <v>0</v>
      </c>
      <c r="AH61" s="9">
        <f t="shared" si="32"/>
        <v>0</v>
      </c>
      <c r="AI61" s="9">
        <f t="shared" si="32"/>
        <v>0</v>
      </c>
      <c r="AJ61" s="9">
        <f t="shared" si="32"/>
        <v>0</v>
      </c>
      <c r="AK61" s="9">
        <f t="shared" si="32"/>
        <v>0</v>
      </c>
      <c r="AL61" s="9">
        <f t="shared" si="32"/>
        <v>0</v>
      </c>
    </row>
    <row r="62" spans="1:38" x14ac:dyDescent="0.2">
      <c r="A62" t="s">
        <v>85</v>
      </c>
      <c r="B62" t="str">
        <f>B21</f>
        <v>HMBA</v>
      </c>
      <c r="C62" t="b">
        <f>B62="BOB"</f>
        <v>0</v>
      </c>
      <c r="D62" s="10">
        <f t="shared" si="28"/>
        <v>-1764935.1850101796</v>
      </c>
      <c r="E62" s="9">
        <f t="shared" ref="E62" si="33">IF(E19&gt;$B$14,$E$14*$E$9*POWER(1+$B$13,E$19-ROUNDUP($B$14,0)),0)*IF(E$18=0,1,ROUNDUP($B$14,0)-$B$14)*IF($C62,1/(1+$B$7),1)</f>
        <v>0</v>
      </c>
      <c r="F62" s="9">
        <f>IF(F19&gt;$B$14,$E$14*$E$9*POWER(1+$B$13,F$19-ROUNDUP($B$14,0)),0)*IF(F$18=0,1,ROUNDUP($B$14,0)-$B$14)*IF($C62,1/(1+$B$7),1)</f>
        <v>-38945.450000000004</v>
      </c>
      <c r="G62" s="9">
        <f t="shared" ref="G62:AL62" si="34">IF(G19&gt;$B$14,$E$14*$E$9*POWER(1+$B$13,G$19-ROUNDUP($B$14,0)),0)*IF(G$18=0,1,ROUNDUP($B$14,0)-$B$14)*IF($C62,1/(1+$B$7),1)</f>
        <v>-79448.718000000008</v>
      </c>
      <c r="H62" s="9">
        <f t="shared" si="34"/>
        <v>-81037.692360000015</v>
      </c>
      <c r="I62" s="9">
        <f t="shared" si="34"/>
        <v>-82658.446207200002</v>
      </c>
      <c r="J62" s="9">
        <f t="shared" si="34"/>
        <v>-84311.615131344006</v>
      </c>
      <c r="K62" s="9">
        <f t="shared" si="34"/>
        <v>-85997.847433970892</v>
      </c>
      <c r="L62" s="9">
        <f t="shared" si="34"/>
        <v>-87717.804382650313</v>
      </c>
      <c r="M62" s="9">
        <f t="shared" si="34"/>
        <v>-89472.160470303294</v>
      </c>
      <c r="N62" s="9">
        <f t="shared" si="34"/>
        <v>-91261.603679709369</v>
      </c>
      <c r="O62" s="9">
        <f t="shared" si="34"/>
        <v>-93086.83575330356</v>
      </c>
      <c r="P62" s="9">
        <f t="shared" si="34"/>
        <v>-94948.572468369632</v>
      </c>
      <c r="Q62" s="9">
        <f t="shared" si="34"/>
        <v>-96847.543917737014</v>
      </c>
      <c r="R62" s="9">
        <f t="shared" si="34"/>
        <v>-98784.494796091763</v>
      </c>
      <c r="S62" s="9">
        <f t="shared" si="34"/>
        <v>-100760.1846920136</v>
      </c>
      <c r="T62" s="9">
        <f t="shared" si="34"/>
        <v>-102775.38838585388</v>
      </c>
      <c r="U62" s="9">
        <f t="shared" si="34"/>
        <v>-104830.89615357092</v>
      </c>
      <c r="V62" s="9">
        <f t="shared" si="34"/>
        <v>-106927.51407664237</v>
      </c>
      <c r="W62" s="9">
        <f t="shared" si="34"/>
        <v>-109066.06435817522</v>
      </c>
      <c r="X62" s="9">
        <f t="shared" si="34"/>
        <v>-111247.38564533871</v>
      </c>
      <c r="Y62" s="9">
        <f t="shared" si="34"/>
        <v>-113472.33335824548</v>
      </c>
      <c r="Z62" s="9">
        <f t="shared" si="34"/>
        <v>-115741.78002541041</v>
      </c>
      <c r="AA62" s="9">
        <f t="shared" si="34"/>
        <v>-118056.61562591861</v>
      </c>
      <c r="AB62" s="9">
        <f t="shared" si="34"/>
        <v>-120417.74793843698</v>
      </c>
      <c r="AC62" s="9">
        <f t="shared" si="34"/>
        <v>-122826.1028972057</v>
      </c>
      <c r="AD62" s="9">
        <f t="shared" si="34"/>
        <v>-125282.62495514982</v>
      </c>
      <c r="AE62" s="9">
        <f t="shared" si="34"/>
        <v>-127788.27745425282</v>
      </c>
      <c r="AF62" s="9">
        <f t="shared" si="34"/>
        <v>-130344.04300333789</v>
      </c>
      <c r="AG62" s="9">
        <f t="shared" si="34"/>
        <v>-132950.92386340463</v>
      </c>
      <c r="AH62" s="9">
        <f t="shared" si="34"/>
        <v>-135609.94234067274</v>
      </c>
      <c r="AI62" s="9">
        <f t="shared" si="34"/>
        <v>-138322.14118748618</v>
      </c>
      <c r="AJ62" s="9">
        <f t="shared" si="34"/>
        <v>-141088.58401123591</v>
      </c>
      <c r="AK62" s="9">
        <f t="shared" si="34"/>
        <v>-143910.3556914606</v>
      </c>
      <c r="AL62" s="9">
        <f t="shared" si="34"/>
        <v>-146788.56280528984</v>
      </c>
    </row>
    <row r="63" spans="1:38" x14ac:dyDescent="0.2">
      <c r="A63" t="s">
        <v>86</v>
      </c>
      <c r="B63" t="str">
        <f>B22</f>
        <v>HMBA</v>
      </c>
      <c r="C63" t="b">
        <v>0</v>
      </c>
      <c r="D63" s="10">
        <f t="shared" si="28"/>
        <v>-2068772.8912033287</v>
      </c>
      <c r="E63" s="24">
        <f>IF(E19&gt;$B$14,$N$14*$E$5*POWER(1+$B$13,E$19-ROUNDUP($B$14,0)),0)*IF(E$18=0,1,ROUNDUP($B$14,0)-$B$14)</f>
        <v>0</v>
      </c>
      <c r="F63" s="24">
        <f t="shared" ref="F63:AL63" si="35">IF(F19&gt;$B$14,$N$14*$E$5*POWER(1+$B$13,F$19-ROUNDUP($B$14,0)),0)*IF(F$18=0,1,ROUNDUP($B$14,0)-$B$14)</f>
        <v>-45650</v>
      </c>
      <c r="G63" s="24">
        <f t="shared" si="35"/>
        <v>-93126</v>
      </c>
      <c r="H63" s="24">
        <f t="shared" si="35"/>
        <v>-94988.52</v>
      </c>
      <c r="I63" s="24">
        <f t="shared" si="35"/>
        <v>-96888.290399999998</v>
      </c>
      <c r="J63" s="24">
        <f t="shared" si="35"/>
        <v>-98826.056207999995</v>
      </c>
      <c r="K63" s="24">
        <f t="shared" si="35"/>
        <v>-100802.57733216</v>
      </c>
      <c r="L63" s="24">
        <f t="shared" si="35"/>
        <v>-102818.62887880321</v>
      </c>
      <c r="M63" s="24">
        <f t="shared" si="35"/>
        <v>-104875.00145637925</v>
      </c>
      <c r="N63" s="24">
        <f t="shared" si="35"/>
        <v>-106972.50148550684</v>
      </c>
      <c r="O63" s="24">
        <f t="shared" si="35"/>
        <v>-109111.95151521698</v>
      </c>
      <c r="P63" s="24">
        <f t="shared" si="35"/>
        <v>-111294.19054552133</v>
      </c>
      <c r="Q63" s="24">
        <f t="shared" si="35"/>
        <v>-113520.07435643172</v>
      </c>
      <c r="R63" s="24">
        <f t="shared" si="35"/>
        <v>-115790.47584356039</v>
      </c>
      <c r="S63" s="24">
        <f t="shared" si="35"/>
        <v>-118106.28536043159</v>
      </c>
      <c r="T63" s="24">
        <f t="shared" si="35"/>
        <v>-120468.41106764023</v>
      </c>
      <c r="U63" s="24">
        <f t="shared" si="35"/>
        <v>-122877.779288993</v>
      </c>
      <c r="V63" s="24">
        <f t="shared" si="35"/>
        <v>-125335.33487477287</v>
      </c>
      <c r="W63" s="24">
        <f t="shared" si="35"/>
        <v>-127842.04157226835</v>
      </c>
      <c r="X63" s="24">
        <f t="shared" si="35"/>
        <v>-130398.88240371369</v>
      </c>
      <c r="Y63" s="24">
        <f t="shared" si="35"/>
        <v>-133006.86005178798</v>
      </c>
      <c r="Z63" s="24">
        <f t="shared" si="35"/>
        <v>-135666.99725282376</v>
      </c>
      <c r="AA63" s="24">
        <f t="shared" si="35"/>
        <v>-138380.3371978802</v>
      </c>
      <c r="AB63" s="24">
        <f t="shared" si="35"/>
        <v>-141147.94394183782</v>
      </c>
      <c r="AC63" s="24">
        <f t="shared" si="35"/>
        <v>-143970.90282067456</v>
      </c>
      <c r="AD63" s="24">
        <f t="shared" si="35"/>
        <v>-146850.32087708806</v>
      </c>
      <c r="AE63" s="24">
        <f t="shared" si="35"/>
        <v>-149787.32729462979</v>
      </c>
      <c r="AF63" s="24">
        <f t="shared" si="35"/>
        <v>-152783.07384052241</v>
      </c>
      <c r="AG63" s="24">
        <f t="shared" si="35"/>
        <v>-155838.73531733284</v>
      </c>
      <c r="AH63" s="24">
        <f t="shared" si="35"/>
        <v>-158955.51002367953</v>
      </c>
      <c r="AI63" s="24">
        <f t="shared" si="35"/>
        <v>-162134.6202241531</v>
      </c>
      <c r="AJ63" s="24">
        <f t="shared" si="35"/>
        <v>-165377.31262863617</v>
      </c>
      <c r="AK63" s="24">
        <f t="shared" si="35"/>
        <v>-168684.85888120884</v>
      </c>
      <c r="AL63" s="24">
        <f t="shared" si="35"/>
        <v>-172058.55605883306</v>
      </c>
    </row>
    <row r="64" spans="1:38" s="16" customFormat="1" x14ac:dyDescent="0.2">
      <c r="A64" s="15" t="s">
        <v>67</v>
      </c>
      <c r="B64" s="15" t="s">
        <v>50</v>
      </c>
      <c r="D64" s="19">
        <f t="shared" si="28"/>
        <v>0</v>
      </c>
      <c r="E64" s="18">
        <f>E61*$B$11</f>
        <v>0</v>
      </c>
      <c r="F64" s="18">
        <f t="shared" ref="F64:AL65" si="36">F61*$B$11</f>
        <v>0</v>
      </c>
      <c r="G64" s="18">
        <f t="shared" si="36"/>
        <v>0</v>
      </c>
      <c r="H64" s="18">
        <f t="shared" si="36"/>
        <v>0</v>
      </c>
      <c r="I64" s="18">
        <f t="shared" si="36"/>
        <v>0</v>
      </c>
      <c r="J64" s="18">
        <f t="shared" si="36"/>
        <v>0</v>
      </c>
      <c r="K64" s="18">
        <f t="shared" si="36"/>
        <v>0</v>
      </c>
      <c r="L64" s="18">
        <f t="shared" si="36"/>
        <v>0</v>
      </c>
      <c r="M64" s="18">
        <f t="shared" si="36"/>
        <v>0</v>
      </c>
      <c r="N64" s="18">
        <f t="shared" si="36"/>
        <v>0</v>
      </c>
      <c r="O64" s="18">
        <f t="shared" si="36"/>
        <v>0</v>
      </c>
      <c r="P64" s="18">
        <f t="shared" si="36"/>
        <v>0</v>
      </c>
      <c r="Q64" s="18">
        <f t="shared" si="36"/>
        <v>0</v>
      </c>
      <c r="R64" s="18">
        <f t="shared" si="36"/>
        <v>0</v>
      </c>
      <c r="S64" s="18">
        <f t="shared" si="36"/>
        <v>0</v>
      </c>
      <c r="T64" s="18">
        <f t="shared" si="36"/>
        <v>0</v>
      </c>
      <c r="U64" s="18">
        <f t="shared" si="36"/>
        <v>0</v>
      </c>
      <c r="V64" s="18">
        <f t="shared" si="36"/>
        <v>0</v>
      </c>
      <c r="W64" s="18">
        <f t="shared" si="36"/>
        <v>0</v>
      </c>
      <c r="X64" s="18">
        <f t="shared" si="36"/>
        <v>0</v>
      </c>
      <c r="Y64" s="18">
        <f t="shared" si="36"/>
        <v>0</v>
      </c>
      <c r="Z64" s="18">
        <f t="shared" si="36"/>
        <v>0</v>
      </c>
      <c r="AA64" s="18">
        <f t="shared" si="36"/>
        <v>0</v>
      </c>
      <c r="AB64" s="18">
        <f t="shared" si="36"/>
        <v>0</v>
      </c>
      <c r="AC64" s="18">
        <f t="shared" si="36"/>
        <v>0</v>
      </c>
      <c r="AD64" s="18">
        <f t="shared" si="36"/>
        <v>0</v>
      </c>
      <c r="AE64" s="18">
        <f t="shared" si="36"/>
        <v>0</v>
      </c>
      <c r="AF64" s="18">
        <f t="shared" si="36"/>
        <v>0</v>
      </c>
      <c r="AG64" s="18">
        <f t="shared" si="36"/>
        <v>0</v>
      </c>
      <c r="AH64" s="18">
        <f t="shared" si="36"/>
        <v>0</v>
      </c>
      <c r="AI64" s="18">
        <f t="shared" si="36"/>
        <v>0</v>
      </c>
      <c r="AJ64" s="18">
        <f t="shared" si="36"/>
        <v>0</v>
      </c>
      <c r="AK64" s="18">
        <f t="shared" si="36"/>
        <v>0</v>
      </c>
      <c r="AL64" s="18">
        <f t="shared" si="36"/>
        <v>0</v>
      </c>
    </row>
    <row r="65" spans="1:38" s="16" customFormat="1" x14ac:dyDescent="0.2">
      <c r="A65" s="15" t="s">
        <v>53</v>
      </c>
      <c r="B65" s="15" t="s">
        <v>50</v>
      </c>
      <c r="D65" s="19">
        <f t="shared" si="28"/>
        <v>-88246.759250508971</v>
      </c>
      <c r="E65" s="18">
        <f>E62*$B$11</f>
        <v>0</v>
      </c>
      <c r="F65" s="18">
        <f t="shared" si="36"/>
        <v>-1947.2725000000003</v>
      </c>
      <c r="G65" s="18">
        <f t="shared" si="36"/>
        <v>-3972.4359000000004</v>
      </c>
      <c r="H65" s="18">
        <f t="shared" si="36"/>
        <v>-4051.884618000001</v>
      </c>
      <c r="I65" s="18">
        <f t="shared" si="36"/>
        <v>-4132.9223103600007</v>
      </c>
      <c r="J65" s="18">
        <f t="shared" si="36"/>
        <v>-4215.5807565672003</v>
      </c>
      <c r="K65" s="18">
        <f t="shared" si="36"/>
        <v>-4299.8923716985446</v>
      </c>
      <c r="L65" s="18">
        <f t="shared" si="36"/>
        <v>-4385.890219132516</v>
      </c>
      <c r="M65" s="18">
        <f t="shared" si="36"/>
        <v>-4473.6080235151649</v>
      </c>
      <c r="N65" s="18">
        <f t="shared" si="36"/>
        <v>-4563.0801839854685</v>
      </c>
      <c r="O65" s="18">
        <f t="shared" si="36"/>
        <v>-4654.3417876651783</v>
      </c>
      <c r="P65" s="18">
        <f t="shared" si="36"/>
        <v>-4747.4286234184819</v>
      </c>
      <c r="Q65" s="18">
        <f t="shared" si="36"/>
        <v>-4842.377195886851</v>
      </c>
      <c r="R65" s="18">
        <f t="shared" si="36"/>
        <v>-4939.2247398045884</v>
      </c>
      <c r="S65" s="18">
        <f t="shared" si="36"/>
        <v>-5038.0092346006804</v>
      </c>
      <c r="T65" s="18">
        <f t="shared" si="36"/>
        <v>-5138.7694192926938</v>
      </c>
      <c r="U65" s="18">
        <f t="shared" si="36"/>
        <v>-5241.5448076785469</v>
      </c>
      <c r="V65" s="18">
        <f t="shared" si="36"/>
        <v>-5346.3757038321191</v>
      </c>
      <c r="W65" s="18">
        <f t="shared" si="36"/>
        <v>-5453.3032179087613</v>
      </c>
      <c r="X65" s="18">
        <f t="shared" si="36"/>
        <v>-5562.3692822669364</v>
      </c>
      <c r="Y65" s="18">
        <f t="shared" si="36"/>
        <v>-5673.6166679122744</v>
      </c>
      <c r="Z65" s="18">
        <f t="shared" si="36"/>
        <v>-5787.0890012705204</v>
      </c>
      <c r="AA65" s="18">
        <f t="shared" si="36"/>
        <v>-5902.830781295931</v>
      </c>
      <c r="AB65" s="18">
        <f t="shared" si="36"/>
        <v>-6020.8873969218494</v>
      </c>
      <c r="AC65" s="18">
        <f t="shared" si="36"/>
        <v>-6141.3051448602855</v>
      </c>
      <c r="AD65" s="18">
        <f t="shared" si="36"/>
        <v>-6264.1312477574911</v>
      </c>
      <c r="AE65" s="18">
        <f t="shared" si="36"/>
        <v>-6389.413872712641</v>
      </c>
      <c r="AF65" s="18">
        <f t="shared" si="36"/>
        <v>-6517.2021501668951</v>
      </c>
      <c r="AG65" s="18">
        <f t="shared" si="36"/>
        <v>-6647.5461931702321</v>
      </c>
      <c r="AH65" s="18">
        <f t="shared" si="36"/>
        <v>-6780.4971170336376</v>
      </c>
      <c r="AI65" s="18">
        <f t="shared" si="36"/>
        <v>-6916.1070593743098</v>
      </c>
      <c r="AJ65" s="18">
        <f t="shared" si="36"/>
        <v>-7054.4292005617963</v>
      </c>
      <c r="AK65" s="18">
        <f t="shared" si="36"/>
        <v>-7195.5177845730304</v>
      </c>
      <c r="AL65" s="18">
        <f t="shared" si="36"/>
        <v>-7339.428140264492</v>
      </c>
    </row>
    <row r="67" spans="1:38" x14ac:dyDescent="0.2">
      <c r="A67" t="s">
        <v>87</v>
      </c>
      <c r="B67" t="s">
        <v>50</v>
      </c>
      <c r="D67" s="10">
        <f t="shared" si="28"/>
        <v>-5366.3556224864869</v>
      </c>
      <c r="E67" s="9">
        <f>SUMIFS(E$58:E$65,$B$58:$B$65,$B67)</f>
        <v>0</v>
      </c>
      <c r="F67" s="9">
        <f>SUMIFS(F$58:F$65,$B$58:$B$65,$B67)-E65-E64</f>
        <v>-1947.2725000000003</v>
      </c>
      <c r="G67" s="9">
        <f t="shared" ref="G67:AL67" si="37">SUMIFS(G$58:G$65,$B$58:$B$65,$B67)-F65-F64</f>
        <v>-2025.1634000000001</v>
      </c>
      <c r="H67" s="9">
        <f t="shared" si="37"/>
        <v>-79.448718000000554</v>
      </c>
      <c r="I67" s="9">
        <f t="shared" si="37"/>
        <v>-81.03769235999971</v>
      </c>
      <c r="J67" s="9">
        <f t="shared" si="37"/>
        <v>-82.658446207199631</v>
      </c>
      <c r="K67" s="9">
        <f t="shared" si="37"/>
        <v>-84.311615131344297</v>
      </c>
      <c r="L67" s="9">
        <f t="shared" si="37"/>
        <v>-85.997847433971401</v>
      </c>
      <c r="M67" s="9">
        <f t="shared" si="37"/>
        <v>-87.717804382648865</v>
      </c>
      <c r="N67" s="9">
        <f t="shared" si="37"/>
        <v>-89.472160470303606</v>
      </c>
      <c r="O67" s="9">
        <f t="shared" si="37"/>
        <v>-91.261603679709879</v>
      </c>
      <c r="P67" s="9">
        <f t="shared" si="37"/>
        <v>-93.086835753303603</v>
      </c>
      <c r="Q67" s="9">
        <f t="shared" si="37"/>
        <v>-94.948572468369093</v>
      </c>
      <c r="R67" s="9">
        <f t="shared" si="37"/>
        <v>-96.847543917737312</v>
      </c>
      <c r="S67" s="9">
        <f t="shared" si="37"/>
        <v>-98.784494796092076</v>
      </c>
      <c r="T67" s="9">
        <f t="shared" si="37"/>
        <v>-100.76018469201335</v>
      </c>
      <c r="U67" s="9">
        <f t="shared" si="37"/>
        <v>-102.77538838585315</v>
      </c>
      <c r="V67" s="9">
        <f t="shared" si="37"/>
        <v>-104.83089615357221</v>
      </c>
      <c r="W67" s="9">
        <f t="shared" si="37"/>
        <v>-106.92751407664218</v>
      </c>
      <c r="X67" s="9">
        <f t="shared" si="37"/>
        <v>-109.06606435817503</v>
      </c>
      <c r="Y67" s="9">
        <f t="shared" si="37"/>
        <v>-111.247385645338</v>
      </c>
      <c r="Z67" s="9">
        <f t="shared" si="37"/>
        <v>-113.47233335824603</v>
      </c>
      <c r="AA67" s="9">
        <f t="shared" si="37"/>
        <v>-115.74178002541066</v>
      </c>
      <c r="AB67" s="9">
        <f t="shared" si="37"/>
        <v>-118.05661562591831</v>
      </c>
      <c r="AC67" s="9">
        <f t="shared" si="37"/>
        <v>-120.41774793843615</v>
      </c>
      <c r="AD67" s="9">
        <f t="shared" si="37"/>
        <v>-122.8261028972056</v>
      </c>
      <c r="AE67" s="9">
        <f t="shared" si="37"/>
        <v>-125.28262495514991</v>
      </c>
      <c r="AF67" s="9">
        <f t="shared" si="37"/>
        <v>-127.78827745425406</v>
      </c>
      <c r="AG67" s="9">
        <f t="shared" si="37"/>
        <v>-130.34404300333699</v>
      </c>
      <c r="AH67" s="9">
        <f t="shared" si="37"/>
        <v>-132.95092386340548</v>
      </c>
      <c r="AI67" s="9">
        <f t="shared" si="37"/>
        <v>-135.60994234067221</v>
      </c>
      <c r="AJ67" s="9">
        <f t="shared" si="37"/>
        <v>-138.32214118748652</v>
      </c>
      <c r="AK67" s="9">
        <f t="shared" si="37"/>
        <v>-141.08858401123416</v>
      </c>
      <c r="AL67" s="9">
        <f t="shared" si="37"/>
        <v>-143.91035569146152</v>
      </c>
    </row>
    <row r="68" spans="1:38" x14ac:dyDescent="0.2">
      <c r="A68" t="s">
        <v>87</v>
      </c>
      <c r="B68" t="s">
        <v>52</v>
      </c>
      <c r="D68" s="10">
        <f t="shared" si="28"/>
        <v>-4288881.613001015</v>
      </c>
      <c r="E68" s="9">
        <f>SUMIFS(E$58:E$65,$B$58:$B$65,$B68)</f>
        <v>-10969746.666666666</v>
      </c>
      <c r="F68" s="9">
        <f t="shared" ref="F68:AL68" si="38">SUMIFS(F$58:F$65,$B$58:$B$65,$B68)</f>
        <v>11142243.204427117</v>
      </c>
      <c r="G68" s="9">
        <f t="shared" si="38"/>
        <v>-331498.96314820368</v>
      </c>
      <c r="H68" s="9">
        <f t="shared" si="38"/>
        <v>-324461.10440757725</v>
      </c>
      <c r="I68" s="9">
        <f t="shared" si="38"/>
        <v>-317282.48849213833</v>
      </c>
      <c r="J68" s="9">
        <f t="shared" si="38"/>
        <v>-309960.30025839049</v>
      </c>
      <c r="K68" s="9">
        <f t="shared" si="38"/>
        <v>-302491.66825996793</v>
      </c>
      <c r="L68" s="9">
        <f t="shared" si="38"/>
        <v>-294873.66362157668</v>
      </c>
      <c r="M68" s="9">
        <f t="shared" si="38"/>
        <v>-287103.29889041785</v>
      </c>
      <c r="N68" s="9">
        <f t="shared" si="38"/>
        <v>-279177.5268646357</v>
      </c>
      <c r="O68" s="9">
        <f t="shared" si="38"/>
        <v>-271093.23939833784</v>
      </c>
      <c r="P68" s="9">
        <f t="shared" si="38"/>
        <v>-1085578.2661827141</v>
      </c>
      <c r="Q68" s="9">
        <f t="shared" si="38"/>
        <v>-254436.37350277801</v>
      </c>
      <c r="R68" s="9">
        <f t="shared" si="38"/>
        <v>-245857.26296924296</v>
      </c>
      <c r="S68" s="9">
        <f t="shared" si="38"/>
        <v>-237106.57022503734</v>
      </c>
      <c r="T68" s="9">
        <f t="shared" si="38"/>
        <v>-228180.86362594768</v>
      </c>
      <c r="U68" s="9">
        <f t="shared" si="38"/>
        <v>-219076.64289487599</v>
      </c>
      <c r="V68" s="9">
        <f t="shared" si="38"/>
        <v>-209790.33774918312</v>
      </c>
      <c r="W68" s="9">
        <f t="shared" si="38"/>
        <v>-200318.30650057632</v>
      </c>
      <c r="X68" s="9">
        <f t="shared" si="38"/>
        <v>-190656.83462699721</v>
      </c>
      <c r="Y68" s="9">
        <f t="shared" si="38"/>
        <v>-180802.13331594667</v>
      </c>
      <c r="Z68" s="9">
        <f t="shared" si="38"/>
        <v>-993481.33797867526</v>
      </c>
      <c r="AA68" s="9">
        <f t="shared" si="38"/>
        <v>-160497.50673465803</v>
      </c>
      <c r="AB68" s="9">
        <f t="shared" si="38"/>
        <v>-150039.6188657608</v>
      </c>
      <c r="AC68" s="9">
        <f t="shared" si="38"/>
        <v>-139372.57323948538</v>
      </c>
      <c r="AD68" s="9">
        <f t="shared" si="38"/>
        <v>-128492.18670068467</v>
      </c>
      <c r="AE68" s="9">
        <f t="shared" si="38"/>
        <v>-117394.19243110786</v>
      </c>
      <c r="AF68" s="9">
        <f t="shared" si="38"/>
        <v>429536.00249725021</v>
      </c>
      <c r="AG68" s="9">
        <f t="shared" si="38"/>
        <v>441082.35573531786</v>
      </c>
      <c r="AH68" s="9">
        <f t="shared" si="38"/>
        <v>452859.63603814697</v>
      </c>
      <c r="AI68" s="9">
        <f t="shared" si="38"/>
        <v>464872.46194703254</v>
      </c>
      <c r="AJ68" s="9">
        <f t="shared" si="38"/>
        <v>-345605.45562590414</v>
      </c>
      <c r="AK68" s="9">
        <f t="shared" si="38"/>
        <v>489623.6884497006</v>
      </c>
      <c r="AL68" s="9">
        <f t="shared" si="38"/>
        <v>502371.79540681723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FE27B-056F-7C4F-B541-DD3AC526627C}">
  <dimension ref="A1:C24"/>
  <sheetViews>
    <sheetView workbookViewId="0">
      <selection activeCell="C9" sqref="C9"/>
    </sheetView>
    <sheetView workbookViewId="1">
      <selection activeCell="M59" sqref="M59"/>
    </sheetView>
  </sheetViews>
  <sheetFormatPr baseColWidth="10" defaultRowHeight="16" x14ac:dyDescent="0.2"/>
  <cols>
    <col min="1" max="1" width="45.83203125" customWidth="1"/>
    <col min="2" max="2" width="16.5" bestFit="1" customWidth="1"/>
    <col min="3" max="3" width="12.6640625" bestFit="1" customWidth="1"/>
  </cols>
  <sheetData>
    <row r="1" spans="1:3" x14ac:dyDescent="0.2">
      <c r="A1" s="1" t="s">
        <v>114</v>
      </c>
    </row>
    <row r="2" spans="1:3" x14ac:dyDescent="0.2">
      <c r="A2" t="s">
        <v>91</v>
      </c>
    </row>
    <row r="4" spans="1:3" ht="17" thickBot="1" x14ac:dyDescent="0.25">
      <c r="A4" s="1" t="s">
        <v>109</v>
      </c>
    </row>
    <row r="5" spans="1:3" ht="17" thickBot="1" x14ac:dyDescent="0.25">
      <c r="A5" s="35" t="s">
        <v>108</v>
      </c>
      <c r="B5" s="36" t="s">
        <v>92</v>
      </c>
      <c r="C5" s="37" t="s">
        <v>93</v>
      </c>
    </row>
    <row r="6" spans="1:3" x14ac:dyDescent="0.2">
      <c r="A6" s="27" t="s">
        <v>99</v>
      </c>
      <c r="B6" s="10">
        <f>B7+B8</f>
        <v>-56419874.046281412</v>
      </c>
      <c r="C6" s="38">
        <f>C7+C8</f>
        <v>-67119771.81706284</v>
      </c>
    </row>
    <row r="7" spans="1:3" x14ac:dyDescent="0.2">
      <c r="A7" s="28" t="s">
        <v>94</v>
      </c>
      <c r="B7" s="29">
        <f>navratkach_BOB!D21+navratkach_BOB!D22</f>
        <v>-45349041.464599028</v>
      </c>
      <c r="C7" s="30">
        <f>navratkach_HMBA!D21+navratkach_HMBA!D22</f>
        <v>-55137450.466561943</v>
      </c>
    </row>
    <row r="8" spans="1:3" x14ac:dyDescent="0.2">
      <c r="A8" s="28" t="s">
        <v>98</v>
      </c>
      <c r="B8" s="29">
        <f>navratkach_BOB!D62+navratkach_BOB!D63</f>
        <v>-11070832.58168238</v>
      </c>
      <c r="C8" s="30">
        <f>navratkach_HMBA!D62+navratkach_HMBA!D63</f>
        <v>-11982321.350500895</v>
      </c>
    </row>
    <row r="9" spans="1:3" x14ac:dyDescent="0.2">
      <c r="A9" s="27" t="s">
        <v>97</v>
      </c>
      <c r="B9" s="39">
        <f>B10+B11+B12</f>
        <v>35244589.344649352</v>
      </c>
      <c r="C9" s="40">
        <f>C10+C11+C12</f>
        <v>40893474.599584699</v>
      </c>
    </row>
    <row r="10" spans="1:3" x14ac:dyDescent="0.2">
      <c r="A10" s="28" t="s">
        <v>106</v>
      </c>
      <c r="B10" s="29">
        <f>SUM(navratkach_BOB!D27:D28)</f>
        <v>40893474.599584699</v>
      </c>
      <c r="C10" s="30">
        <f>SUM(navratkach_HMBA!D27:D28)</f>
        <v>40893474.599584699</v>
      </c>
    </row>
    <row r="11" spans="1:3" x14ac:dyDescent="0.2">
      <c r="A11" s="28" t="s">
        <v>100</v>
      </c>
      <c r="B11" s="29">
        <f>navratkach_BOB!D38+navratkach_BOB!D39</f>
        <v>-2415275.4076937363</v>
      </c>
      <c r="C11" s="30">
        <v>0</v>
      </c>
    </row>
    <row r="12" spans="1:3" x14ac:dyDescent="0.2">
      <c r="A12" s="28" t="s">
        <v>101</v>
      </c>
      <c r="B12" s="29">
        <f>navratkach_BOB!D61+navratkach_BOB!D60</f>
        <v>-3233609.8472416103</v>
      </c>
      <c r="C12" s="30">
        <v>0</v>
      </c>
    </row>
    <row r="13" spans="1:3" x14ac:dyDescent="0.2">
      <c r="A13" s="27" t="s">
        <v>60</v>
      </c>
      <c r="B13" s="39">
        <f>B14+B15+B16+B17</f>
        <v>21262629.587224405</v>
      </c>
      <c r="C13" s="40">
        <f>SUM(C14:C17)</f>
        <v>23483054.558412023</v>
      </c>
    </row>
    <row r="14" spans="1:3" x14ac:dyDescent="0.2">
      <c r="A14" s="28" t="s">
        <v>95</v>
      </c>
      <c r="B14" s="29">
        <f>navratkach_BOB!D35+navratkach_BOB!D36</f>
        <v>35005351.758079194</v>
      </c>
      <c r="C14" s="30">
        <f>navratkach_HMBA!D36+navratkach_HMBA!D35</f>
        <v>34050660.346495211</v>
      </c>
    </row>
    <row r="15" spans="1:3" x14ac:dyDescent="0.2">
      <c r="A15" s="28" t="s">
        <v>96</v>
      </c>
      <c r="B15" s="29">
        <f>navratkach_BOB!D34+navratkach_BOB!D37</f>
        <v>68062140.813986406</v>
      </c>
      <c r="C15" s="30">
        <f>navratkach_HMBA!D34+navratkach_HMBA!D37</f>
        <v>15257855.171825213</v>
      </c>
    </row>
    <row r="16" spans="1:3" x14ac:dyDescent="0.2">
      <c r="A16" s="28" t="s">
        <v>102</v>
      </c>
      <c r="B16" s="29">
        <f>navratkach_BOB!D44+navratkach_BOB!D46+navratkach_BOB!D45</f>
        <v>-70940969.184007987</v>
      </c>
      <c r="C16" s="30">
        <f>navratkach_HMBA!D44+navratkach_HMBA!D45+navratkach_HMBA!D46</f>
        <v>-15257855.1718252</v>
      </c>
    </row>
    <row r="17" spans="1:3" x14ac:dyDescent="0.2">
      <c r="A17" s="28" t="s">
        <v>103</v>
      </c>
      <c r="B17" s="29">
        <f>navratkach_BOB!D47+navratkach_BOB!D48</f>
        <v>-10863893.800833199</v>
      </c>
      <c r="C17" s="30">
        <f>navratkach_HMBA!D47+navratkach_HMBA!D48</f>
        <v>-10567605.788083203</v>
      </c>
    </row>
    <row r="18" spans="1:3" x14ac:dyDescent="0.2">
      <c r="A18" s="27" t="s">
        <v>46</v>
      </c>
      <c r="B18" s="39">
        <f>SUM(B19:B20)</f>
        <v>2751878.0535717253</v>
      </c>
      <c r="C18" s="40">
        <f>SUM(C19:C20)</f>
        <v>0</v>
      </c>
    </row>
    <row r="19" spans="1:3" x14ac:dyDescent="0.2">
      <c r="A19" s="28" t="s">
        <v>104</v>
      </c>
      <c r="B19" s="29">
        <f>navratkach_BOB!D24+navratkach_BOB!D40+navratkach_BOB!D64+navratkach_BOB!D65</f>
        <v>-4337673.4793794025</v>
      </c>
      <c r="C19" s="31">
        <v>0</v>
      </c>
    </row>
    <row r="20" spans="1:3" x14ac:dyDescent="0.2">
      <c r="A20" s="28" t="s">
        <v>105</v>
      </c>
      <c r="B20" s="29">
        <f>navratkach_BOB!D51+navratkach_BOB!D66</f>
        <v>7089551.5329511277</v>
      </c>
      <c r="C20" s="31">
        <v>0</v>
      </c>
    </row>
    <row r="21" spans="1:3" x14ac:dyDescent="0.2">
      <c r="A21" s="28"/>
      <c r="B21" s="29"/>
      <c r="C21" s="31"/>
    </row>
    <row r="22" spans="1:3" ht="17" thickBot="1" x14ac:dyDescent="0.25">
      <c r="A22" s="32" t="s">
        <v>107</v>
      </c>
      <c r="B22" s="33">
        <f>B6+B9+B13+B18</f>
        <v>2839222.9391640704</v>
      </c>
      <c r="C22" s="34">
        <f>C6+C9+C13+C18</f>
        <v>-2743242.6590661183</v>
      </c>
    </row>
    <row r="23" spans="1:3" x14ac:dyDescent="0.2">
      <c r="A23" s="41" t="s">
        <v>110</v>
      </c>
      <c r="B23" s="42"/>
      <c r="C23" s="43">
        <f>B22-C22</f>
        <v>5582465.5982301887</v>
      </c>
    </row>
    <row r="24" spans="1:3" ht="17" thickBot="1" x14ac:dyDescent="0.25">
      <c r="A24" s="44" t="s">
        <v>111</v>
      </c>
      <c r="B24" s="45">
        <f>-B22/B7</f>
        <v>6.2608223844829503E-2</v>
      </c>
      <c r="C24" s="46">
        <f>-C22/C7</f>
        <v>-4.9752802058371473E-2</v>
      </c>
    </row>
  </sheetData>
  <conditionalFormatting sqref="B24:C24">
    <cfRule type="iconSet" priority="1">
      <iconSet iconSet="3Symbols2">
        <cfvo type="percent" val="0"/>
        <cfvo type="num" val="0"/>
        <cfvo type="num" val="0.05"/>
      </iconSet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03175-6C74-DC47-9B43-40981489D8DD}">
  <dimension ref="A1:AL68"/>
  <sheetViews>
    <sheetView topLeftCell="A14" workbookViewId="0">
      <selection activeCell="C51" sqref="C51"/>
    </sheetView>
    <sheetView topLeftCell="O8" workbookViewId="1">
      <selection activeCell="AM22" sqref="AM22"/>
    </sheetView>
  </sheetViews>
  <sheetFormatPr baseColWidth="10" defaultColWidth="10.6640625" defaultRowHeight="16" x14ac:dyDescent="0.2"/>
  <cols>
    <col min="1" max="1" width="36" bestFit="1" customWidth="1"/>
    <col min="2" max="2" width="20.83203125" customWidth="1"/>
    <col min="4" max="4" width="21.83203125" customWidth="1"/>
    <col min="5" max="5" width="16.33203125" customWidth="1"/>
    <col min="6" max="6" width="36" bestFit="1" customWidth="1"/>
    <col min="7" max="7" width="23.1640625" customWidth="1"/>
    <col min="8" max="8" width="15.1640625" bestFit="1" customWidth="1"/>
    <col min="9" max="9" width="11.6640625" customWidth="1"/>
    <col min="10" max="10" width="16.1640625" customWidth="1"/>
    <col min="11" max="12" width="11" bestFit="1" customWidth="1"/>
    <col min="13" max="13" width="16.1640625" customWidth="1"/>
    <col min="14" max="14" width="15.1640625" bestFit="1" customWidth="1"/>
    <col min="15" max="15" width="12.33203125" bestFit="1" customWidth="1"/>
    <col min="16" max="28" width="11" bestFit="1" customWidth="1"/>
    <col min="29" max="29" width="10.83203125" bestFit="1" customWidth="1"/>
    <col min="30" max="37" width="11" bestFit="1" customWidth="1"/>
    <col min="38" max="38" width="11.6640625" bestFit="1" customWidth="1"/>
  </cols>
  <sheetData>
    <row r="1" spans="1:17" ht="19" x14ac:dyDescent="0.25">
      <c r="A1" s="2" t="s">
        <v>0</v>
      </c>
    </row>
    <row r="2" spans="1:17" x14ac:dyDescent="0.2">
      <c r="A2" t="s">
        <v>1</v>
      </c>
    </row>
    <row r="4" spans="1:17" x14ac:dyDescent="0.2">
      <c r="A4" s="1" t="s">
        <v>2</v>
      </c>
    </row>
    <row r="5" spans="1:17" ht="34" x14ac:dyDescent="0.2">
      <c r="A5" s="7" t="s">
        <v>3</v>
      </c>
      <c r="B5" s="3" t="s">
        <v>112</v>
      </c>
      <c r="D5" s="7" t="s">
        <v>5</v>
      </c>
      <c r="E5" s="3">
        <v>331</v>
      </c>
      <c r="G5" s="7" t="s">
        <v>6</v>
      </c>
      <c r="H5" s="6">
        <v>0.01</v>
      </c>
      <c r="J5" s="7" t="s">
        <v>7</v>
      </c>
      <c r="K5" s="6">
        <v>0.04</v>
      </c>
    </row>
    <row r="6" spans="1:17" ht="34" x14ac:dyDescent="0.2">
      <c r="A6" s="7" t="s">
        <v>8</v>
      </c>
      <c r="B6" s="5">
        <v>-55465374</v>
      </c>
      <c r="D6" s="7" t="s">
        <v>9</v>
      </c>
      <c r="E6" s="3">
        <v>19887</v>
      </c>
      <c r="G6" s="7" t="s">
        <v>10</v>
      </c>
      <c r="H6" s="3">
        <v>40</v>
      </c>
      <c r="J6" s="7" t="s">
        <v>11</v>
      </c>
      <c r="K6" s="3">
        <v>25</v>
      </c>
    </row>
    <row r="7" spans="1:17" ht="34" x14ac:dyDescent="0.2">
      <c r="A7" s="7" t="s">
        <v>12</v>
      </c>
      <c r="B7" s="6">
        <v>0.23</v>
      </c>
      <c r="D7" s="7" t="s">
        <v>13</v>
      </c>
      <c r="E7" s="4">
        <f>B8/E6</f>
        <v>-2267.5013828128926</v>
      </c>
      <c r="G7" s="7" t="s">
        <v>14</v>
      </c>
      <c r="H7" s="6">
        <v>0.4</v>
      </c>
      <c r="J7" s="7" t="s">
        <v>15</v>
      </c>
      <c r="K7" s="6">
        <v>0.06</v>
      </c>
    </row>
    <row r="8" spans="1:17" ht="34" x14ac:dyDescent="0.2">
      <c r="A8" s="7" t="s">
        <v>16</v>
      </c>
      <c r="B8" s="4">
        <f>B6/(1+$B$7)</f>
        <v>-45093800</v>
      </c>
      <c r="D8" s="7" t="s">
        <v>17</v>
      </c>
      <c r="E8" s="6">
        <v>1</v>
      </c>
      <c r="G8" s="7" t="s">
        <v>18</v>
      </c>
      <c r="H8" s="5">
        <v>1980</v>
      </c>
      <c r="J8" s="7" t="s">
        <v>19</v>
      </c>
      <c r="K8" s="3">
        <v>25</v>
      </c>
    </row>
    <row r="9" spans="1:17" ht="34" x14ac:dyDescent="0.2">
      <c r="A9" s="7" t="s">
        <v>89</v>
      </c>
      <c r="B9" s="3" t="s">
        <v>50</v>
      </c>
      <c r="D9" s="7" t="s">
        <v>20</v>
      </c>
      <c r="E9" s="3">
        <v>22097</v>
      </c>
      <c r="G9" s="7" t="s">
        <v>21</v>
      </c>
      <c r="H9" s="5">
        <v>2140</v>
      </c>
    </row>
    <row r="10" spans="1:17" x14ac:dyDescent="0.2">
      <c r="A10" s="7"/>
      <c r="D10" s="7"/>
      <c r="G10" s="7"/>
      <c r="M10" t="s">
        <v>88</v>
      </c>
      <c r="N10" s="4">
        <f>IF($B$9="BOB",N12,N11)</f>
        <v>17677723.4802</v>
      </c>
    </row>
    <row r="11" spans="1:17" ht="51" x14ac:dyDescent="0.2">
      <c r="A11" s="7" t="s">
        <v>22</v>
      </c>
      <c r="B11" s="6">
        <v>0.05</v>
      </c>
      <c r="D11" s="7" t="s">
        <v>23</v>
      </c>
      <c r="E11" s="5">
        <v>7</v>
      </c>
      <c r="G11" s="7" t="s">
        <v>24</v>
      </c>
      <c r="H11" s="4">
        <f>MIN(H9,-$E$7)*$E$6*0.9</f>
        <v>38302362</v>
      </c>
      <c r="I11" s="20"/>
      <c r="J11" s="7" t="s">
        <v>25</v>
      </c>
      <c r="K11" s="3">
        <v>10</v>
      </c>
      <c r="M11" s="7" t="s">
        <v>26</v>
      </c>
      <c r="N11" s="4">
        <f>-B8*(1+$B$12)-H11</f>
        <v>17163012</v>
      </c>
      <c r="O11" s="20"/>
    </row>
    <row r="12" spans="1:17" ht="51" x14ac:dyDescent="0.2">
      <c r="A12" s="7" t="s">
        <v>27</v>
      </c>
      <c r="B12" s="6">
        <v>0.23</v>
      </c>
      <c r="D12" s="7" t="s">
        <v>28</v>
      </c>
      <c r="E12" s="5">
        <v>2.5</v>
      </c>
      <c r="G12" s="7" t="s">
        <v>29</v>
      </c>
      <c r="H12" s="4">
        <f>MIN(H8,-$E$7)*$E$6</f>
        <v>39376260</v>
      </c>
      <c r="I12" s="20"/>
      <c r="J12" s="7" t="s">
        <v>30</v>
      </c>
      <c r="K12" s="13">
        <v>0.05</v>
      </c>
      <c r="M12" s="7" t="s">
        <v>31</v>
      </c>
      <c r="N12" s="4">
        <f>MAX(N13-H12,0)</f>
        <v>17677723.4802</v>
      </c>
      <c r="O12" s="20"/>
      <c r="P12" s="20"/>
      <c r="Q12" s="21"/>
    </row>
    <row r="13" spans="1:17" ht="34" x14ac:dyDescent="0.2">
      <c r="A13" s="7" t="s">
        <v>32</v>
      </c>
      <c r="B13" s="6">
        <v>0.02</v>
      </c>
      <c r="D13" s="7" t="s">
        <v>33</v>
      </c>
      <c r="E13" s="5">
        <v>1.5</v>
      </c>
      <c r="G13" s="7" t="s">
        <v>34</v>
      </c>
      <c r="H13" s="4">
        <f>(E11+E13)*E6*12</f>
        <v>2028474</v>
      </c>
      <c r="J13" s="7" t="s">
        <v>35</v>
      </c>
      <c r="K13" s="13">
        <v>7.0000000000000001E-3</v>
      </c>
      <c r="M13" s="7" t="s">
        <v>36</v>
      </c>
      <c r="N13" s="4">
        <f>MAX((-SUM(E44:AL44)+SUMIFS(E24:AL24,E18:AL18,"&gt;0"))*(1+B11)*(1+K14),0)</f>
        <v>57053983.4802</v>
      </c>
      <c r="P13" s="23"/>
      <c r="Q13" s="21"/>
    </row>
    <row r="14" spans="1:17" ht="51" x14ac:dyDescent="0.2">
      <c r="A14" s="7" t="s">
        <v>37</v>
      </c>
      <c r="B14" s="3">
        <v>4</v>
      </c>
      <c r="D14" s="7" t="s">
        <v>38</v>
      </c>
      <c r="E14" s="5">
        <v>-11.3</v>
      </c>
      <c r="G14" s="7" t="s">
        <v>39</v>
      </c>
      <c r="H14" s="4">
        <f>(E9-E6)*E12*12</f>
        <v>66300</v>
      </c>
      <c r="J14" s="7" t="s">
        <v>40</v>
      </c>
      <c r="K14" s="13">
        <v>0.05</v>
      </c>
      <c r="M14" s="7" t="s">
        <v>41</v>
      </c>
      <c r="N14" s="4">
        <v>-1100</v>
      </c>
    </row>
    <row r="16" spans="1:17" ht="19" x14ac:dyDescent="0.25">
      <c r="A16" s="2" t="s">
        <v>42</v>
      </c>
    </row>
    <row r="17" spans="1:38" ht="19" x14ac:dyDescent="0.25">
      <c r="A17" s="2"/>
    </row>
    <row r="18" spans="1:38" s="14" customFormat="1" x14ac:dyDescent="0.2">
      <c r="A18" s="14" t="s">
        <v>43</v>
      </c>
      <c r="E18" s="14">
        <f>IF(E$19&lt;=ROUNDDOWN($B$14,0),(ROUNDDOWN($B$14,0)/$B$14)/ROUNDDOWN($B$14,0),IF(E$19=ROUNDUP($B$14,0),1-SUM($D$18:D18),0))</f>
        <v>0.25</v>
      </c>
      <c r="F18" s="14">
        <f>IF(F$19&lt;=ROUNDDOWN($B$14,0),(ROUNDDOWN($B$14,0)/$B$14)/ROUNDDOWN($B$14,0),IF(F$19=ROUNDUP($B$14,0),1-SUM($D$18:E18),0))</f>
        <v>0.25</v>
      </c>
      <c r="G18" s="14">
        <f>IF(G$19&lt;=ROUNDDOWN($B$14,0),(ROUNDDOWN($B$14,0)/$B$14)/ROUNDDOWN($B$14,0),IF(G$19=ROUNDUP($B$14,0),1-SUM($D$18:F18),0))</f>
        <v>0.25</v>
      </c>
      <c r="H18" s="14">
        <f>IF(H$19&lt;=ROUNDDOWN($B$14,0),(ROUNDDOWN($B$14,0)/$B$14)/ROUNDDOWN($B$14,0),IF(H$19=ROUNDUP($B$14,0),1-SUM($D$18:G18),0))</f>
        <v>0.25</v>
      </c>
      <c r="I18" s="14">
        <f>IF(I$19&lt;=ROUNDDOWN($B$14,0),(ROUNDDOWN($B$14,0)/$B$14)/ROUNDDOWN($B$14,0),IF(I$19=ROUNDUP($B$14,0),1-SUM($D$18:H18),0))</f>
        <v>0</v>
      </c>
      <c r="J18" s="14">
        <f>IF(J$19&lt;=ROUNDDOWN($B$14,0),(ROUNDDOWN($B$14,0)/$B$14)/ROUNDDOWN($B$14,0),IF(J$19=ROUNDUP($B$14,0),1-SUM($D$18:I18),0))</f>
        <v>0</v>
      </c>
      <c r="K18" s="14">
        <f>IF(K$19&lt;=ROUNDDOWN($B$14,0),(ROUNDDOWN($B$14,0)/$B$14)/ROUNDDOWN($B$14,0),IF(K$19=ROUNDUP($B$14,0),1-SUM($D$18:J18),0))</f>
        <v>0</v>
      </c>
      <c r="L18" s="14">
        <f>IF(L$19&lt;=ROUNDDOWN($B$14,0),(ROUNDDOWN($B$14,0)/$B$14)/ROUNDDOWN($B$14,0),IF(L$19=ROUNDUP($B$14,0),1-SUM($D$18:K18),0))</f>
        <v>0</v>
      </c>
      <c r="M18" s="14">
        <f>IF(M$19&lt;=ROUNDDOWN($B$14,0),(ROUNDDOWN($B$14,0)/$B$14)/ROUNDDOWN($B$14,0),IF(M$19=ROUNDUP($B$14,0),1-SUM($D$18:L18),0))</f>
        <v>0</v>
      </c>
    </row>
    <row r="19" spans="1:38" x14ac:dyDescent="0.2">
      <c r="A19" s="1" t="s">
        <v>44</v>
      </c>
      <c r="B19" s="1" t="s">
        <v>45</v>
      </c>
      <c r="C19" s="1" t="s">
        <v>46</v>
      </c>
      <c r="D19" s="1" t="s">
        <v>47</v>
      </c>
      <c r="E19" s="1">
        <v>1</v>
      </c>
      <c r="F19" s="1">
        <v>2</v>
      </c>
      <c r="G19" s="1">
        <v>3</v>
      </c>
      <c r="H19" s="1">
        <v>4</v>
      </c>
      <c r="I19" s="1">
        <v>5</v>
      </c>
      <c r="J19" s="1">
        <v>6</v>
      </c>
      <c r="K19" s="1">
        <v>7</v>
      </c>
      <c r="L19" s="1">
        <v>8</v>
      </c>
      <c r="M19" s="1">
        <v>9</v>
      </c>
      <c r="N19" s="1">
        <v>10</v>
      </c>
      <c r="O19" s="1">
        <v>11</v>
      </c>
      <c r="P19" s="1">
        <v>12</v>
      </c>
      <c r="Q19" s="1">
        <v>13</v>
      </c>
      <c r="R19" s="1">
        <v>14</v>
      </c>
      <c r="S19" s="1">
        <v>15</v>
      </c>
      <c r="T19" s="1">
        <v>16</v>
      </c>
      <c r="U19" s="1">
        <v>17</v>
      </c>
      <c r="V19" s="1">
        <v>18</v>
      </c>
      <c r="W19" s="1">
        <v>19</v>
      </c>
      <c r="X19" s="1">
        <v>20</v>
      </c>
      <c r="Y19" s="1">
        <v>21</v>
      </c>
      <c r="Z19" s="1">
        <v>22</v>
      </c>
      <c r="AA19" s="1">
        <v>23</v>
      </c>
      <c r="AB19" s="1">
        <v>24</v>
      </c>
      <c r="AC19" s="1">
        <v>25</v>
      </c>
      <c r="AD19" s="1">
        <v>26</v>
      </c>
      <c r="AE19" s="1">
        <v>27</v>
      </c>
      <c r="AF19" s="1">
        <v>28</v>
      </c>
      <c r="AG19" s="1">
        <v>29</v>
      </c>
      <c r="AH19" s="1">
        <v>30</v>
      </c>
      <c r="AI19" s="1">
        <v>31</v>
      </c>
      <c r="AJ19" s="1">
        <v>32</v>
      </c>
      <c r="AK19" s="1">
        <v>33</v>
      </c>
      <c r="AL19" s="1">
        <v>34</v>
      </c>
    </row>
    <row r="20" spans="1:38" x14ac:dyDescent="0.2">
      <c r="A20" s="8" t="s">
        <v>48</v>
      </c>
    </row>
    <row r="21" spans="1:38" x14ac:dyDescent="0.2">
      <c r="A21" t="s">
        <v>49</v>
      </c>
      <c r="B21" t="str">
        <f>$B$9</f>
        <v>BOB</v>
      </c>
      <c r="C21" t="b">
        <f>B21="BOB"</f>
        <v>1</v>
      </c>
      <c r="D21" s="10">
        <f>E21+NPV($K$5,F21:AK21)</f>
        <v>-42558300.008534357</v>
      </c>
      <c r="E21" s="9">
        <f>IF($B21="BOB",$B$8,$B$6)*E$18</f>
        <v>-11273450</v>
      </c>
      <c r="F21" s="9">
        <f t="shared" ref="F21:AL21" si="0">IF($B21="BOB",$B$8,$B$6)*F$18</f>
        <v>-11273450</v>
      </c>
      <c r="G21" s="9">
        <f t="shared" si="0"/>
        <v>-11273450</v>
      </c>
      <c r="H21" s="9">
        <f t="shared" si="0"/>
        <v>-11273450</v>
      </c>
      <c r="I21" s="9">
        <f t="shared" si="0"/>
        <v>0</v>
      </c>
      <c r="J21" s="9">
        <f t="shared" si="0"/>
        <v>0</v>
      </c>
      <c r="K21" s="9">
        <f t="shared" si="0"/>
        <v>0</v>
      </c>
      <c r="L21" s="9">
        <f t="shared" si="0"/>
        <v>0</v>
      </c>
      <c r="M21" s="9">
        <f t="shared" si="0"/>
        <v>0</v>
      </c>
      <c r="N21" s="9">
        <f t="shared" si="0"/>
        <v>0</v>
      </c>
      <c r="O21" s="9">
        <f t="shared" si="0"/>
        <v>0</v>
      </c>
      <c r="P21" s="9">
        <f t="shared" si="0"/>
        <v>0</v>
      </c>
      <c r="Q21" s="9">
        <f t="shared" si="0"/>
        <v>0</v>
      </c>
      <c r="R21" s="9">
        <f t="shared" si="0"/>
        <v>0</v>
      </c>
      <c r="S21" s="9">
        <f t="shared" si="0"/>
        <v>0</v>
      </c>
      <c r="T21" s="9">
        <f t="shared" si="0"/>
        <v>0</v>
      </c>
      <c r="U21" s="9">
        <f t="shared" si="0"/>
        <v>0</v>
      </c>
      <c r="V21" s="9">
        <f t="shared" si="0"/>
        <v>0</v>
      </c>
      <c r="W21" s="9">
        <f t="shared" si="0"/>
        <v>0</v>
      </c>
      <c r="X21" s="9">
        <f t="shared" si="0"/>
        <v>0</v>
      </c>
      <c r="Y21" s="9">
        <f t="shared" si="0"/>
        <v>0</v>
      </c>
      <c r="Z21" s="9">
        <f t="shared" si="0"/>
        <v>0</v>
      </c>
      <c r="AA21" s="9">
        <f t="shared" si="0"/>
        <v>0</v>
      </c>
      <c r="AB21" s="9">
        <f t="shared" si="0"/>
        <v>0</v>
      </c>
      <c r="AC21" s="9">
        <f t="shared" si="0"/>
        <v>0</v>
      </c>
      <c r="AD21" s="9">
        <f t="shared" si="0"/>
        <v>0</v>
      </c>
      <c r="AE21" s="9">
        <f t="shared" si="0"/>
        <v>0</v>
      </c>
      <c r="AF21" s="9">
        <f t="shared" si="0"/>
        <v>0</v>
      </c>
      <c r="AG21" s="9">
        <f t="shared" si="0"/>
        <v>0</v>
      </c>
      <c r="AH21" s="9">
        <f t="shared" si="0"/>
        <v>0</v>
      </c>
      <c r="AI21" s="9">
        <f t="shared" si="0"/>
        <v>0</v>
      </c>
      <c r="AJ21" s="9">
        <f t="shared" si="0"/>
        <v>0</v>
      </c>
      <c r="AK21" s="9">
        <f t="shared" si="0"/>
        <v>0</v>
      </c>
      <c r="AL21" s="9">
        <f t="shared" si="0"/>
        <v>0</v>
      </c>
    </row>
    <row r="22" spans="1:38" x14ac:dyDescent="0.2">
      <c r="A22" t="s">
        <v>51</v>
      </c>
      <c r="B22" t="s">
        <v>52</v>
      </c>
      <c r="C22" t="b">
        <f>B22="BOB"</f>
        <v>0</v>
      </c>
      <c r="D22" s="10">
        <f>E22+NPV($K$5,F22:AK22)</f>
        <v>-2790741.4560646713</v>
      </c>
      <c r="E22" s="9">
        <f>IF(E$19&lt;($K$11+ROUNDUP($B$14,0)),0,IF(MOD(E$19-ROUNDUP($B$14,0),$K$11)=0,$B$6*$K$12*POWER(1+$B$13,E$19-ROUNDUP(E19,0)),0))</f>
        <v>0</v>
      </c>
      <c r="F22" s="9">
        <f t="shared" ref="F22:AL22" si="1">IF(F$19&lt;($K$11+ROUNDUP($B$14,0)),0,IF(MOD(F$19-ROUNDUP($B$14,0),$K$11)=0,$B$6*$K$12*POWER(1+$B$13,F$19-ROUNDUP(F19,0)),0))</f>
        <v>0</v>
      </c>
      <c r="G22" s="9">
        <f t="shared" si="1"/>
        <v>0</v>
      </c>
      <c r="H22" s="9">
        <f t="shared" si="1"/>
        <v>0</v>
      </c>
      <c r="I22" s="9">
        <f t="shared" si="1"/>
        <v>0</v>
      </c>
      <c r="J22" s="9">
        <f t="shared" si="1"/>
        <v>0</v>
      </c>
      <c r="K22" s="9">
        <f t="shared" si="1"/>
        <v>0</v>
      </c>
      <c r="L22" s="9">
        <f t="shared" si="1"/>
        <v>0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  <c r="Q22" s="9">
        <f t="shared" si="1"/>
        <v>0</v>
      </c>
      <c r="R22" s="9">
        <f t="shared" si="1"/>
        <v>-2773268.7</v>
      </c>
      <c r="S22" s="9">
        <f t="shared" si="1"/>
        <v>0</v>
      </c>
      <c r="T22" s="9">
        <f t="shared" si="1"/>
        <v>0</v>
      </c>
      <c r="U22" s="9">
        <f t="shared" si="1"/>
        <v>0</v>
      </c>
      <c r="V22" s="9">
        <f t="shared" si="1"/>
        <v>0</v>
      </c>
      <c r="W22" s="9">
        <f t="shared" si="1"/>
        <v>0</v>
      </c>
      <c r="X22" s="9">
        <f t="shared" si="1"/>
        <v>0</v>
      </c>
      <c r="Y22" s="9">
        <f t="shared" si="1"/>
        <v>0</v>
      </c>
      <c r="Z22" s="9">
        <f t="shared" si="1"/>
        <v>0</v>
      </c>
      <c r="AA22" s="9">
        <f t="shared" si="1"/>
        <v>0</v>
      </c>
      <c r="AB22" s="9">
        <f t="shared" si="1"/>
        <v>-2773268.7</v>
      </c>
      <c r="AC22" s="9">
        <f t="shared" si="1"/>
        <v>0</v>
      </c>
      <c r="AD22" s="9">
        <f t="shared" si="1"/>
        <v>0</v>
      </c>
      <c r="AE22" s="9">
        <f t="shared" si="1"/>
        <v>0</v>
      </c>
      <c r="AF22" s="9">
        <f t="shared" si="1"/>
        <v>0</v>
      </c>
      <c r="AG22" s="9">
        <f t="shared" si="1"/>
        <v>0</v>
      </c>
      <c r="AH22" s="9">
        <f t="shared" si="1"/>
        <v>0</v>
      </c>
      <c r="AI22" s="9">
        <f t="shared" si="1"/>
        <v>0</v>
      </c>
      <c r="AJ22" s="9">
        <f t="shared" si="1"/>
        <v>0</v>
      </c>
      <c r="AK22" s="9">
        <f t="shared" si="1"/>
        <v>0</v>
      </c>
      <c r="AL22" s="9">
        <f>IF(AL$19&lt;($K$11+ROUNDUP($B$14,0)),0,IF(MOD(AL$19-ROUNDUP($B$14,0),$K$11)=0,$B$6*$K$12*POWER(1+$B$13,AL$19-ROUNDUP(AL19,0)),0))</f>
        <v>-2773268.7</v>
      </c>
    </row>
    <row r="23" spans="1:38" x14ac:dyDescent="0.2">
      <c r="D23" s="10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</row>
    <row r="24" spans="1:38" s="16" customFormat="1" x14ac:dyDescent="0.2">
      <c r="A24" s="15" t="s">
        <v>53</v>
      </c>
      <c r="B24" s="15" t="s">
        <v>50</v>
      </c>
      <c r="D24" s="17">
        <f>E24+NPV($K$5,F24:AK24)</f>
        <v>-9788409.0019629039</v>
      </c>
      <c r="E24" s="18">
        <f t="shared" ref="E24:F24" si="2">SUMIFS(E$21:E$23,$C$21:$C$23,TRUE)*$B$12</f>
        <v>-2592893.5</v>
      </c>
      <c r="F24" s="18">
        <f t="shared" si="2"/>
        <v>-2592893.5</v>
      </c>
      <c r="G24" s="18">
        <f>SUMIFS(G$21:G$23,$C$21:$C$23,TRUE)*$B$12</f>
        <v>-2592893.5</v>
      </c>
      <c r="H24" s="18">
        <f>SUMIFS(H$21:H$23,$C$21:$C$23,TRUE)*$B$12</f>
        <v>-2592893.5</v>
      </c>
      <c r="I24" s="18">
        <f>SUMIFS(I$21:I$23,$C$21:$C$23,TRUE)*$B$12</f>
        <v>0</v>
      </c>
      <c r="J24" s="18">
        <f>SUMIFS(J$21:J$23,$C$21:$C$23,TRUE)*$B$12</f>
        <v>0</v>
      </c>
      <c r="K24" s="18">
        <f>SUMIFS(K$21:K$23,$C$21:$C$23,TRUE)*$B$12</f>
        <v>0</v>
      </c>
      <c r="L24" s="18">
        <f>SUMIFS(L$21:L$23,$C$21:$C$23,TRUE)*$B$12</f>
        <v>0</v>
      </c>
      <c r="M24" s="18">
        <f>SUMIFS(M$21:M$23,$C$21:$C$23,TRUE)*$B$12</f>
        <v>0</v>
      </c>
      <c r="N24" s="18">
        <f>SUMIFS(N$21:N$23,$C$21:$C$23,TRUE)*$B$12</f>
        <v>0</v>
      </c>
      <c r="O24" s="18">
        <f>SUMIFS(O$21:O$23,$C$21:$C$23,TRUE)*$B$12</f>
        <v>0</v>
      </c>
      <c r="P24" s="18">
        <f>SUMIFS(P$21:P$23,$C$21:$C$23,TRUE)*$B$12</f>
        <v>0</v>
      </c>
      <c r="Q24" s="18">
        <f>SUMIFS(Q$21:Q$23,$C$21:$C$23,TRUE)*$B$12</f>
        <v>0</v>
      </c>
      <c r="R24" s="18">
        <f>SUMIFS(R$21:R$23,$C$21:$C$23,TRUE)*$B$12</f>
        <v>0</v>
      </c>
      <c r="S24" s="18">
        <f>SUMIFS(S$21:S$23,$C$21:$C$23,TRUE)*$B$12</f>
        <v>0</v>
      </c>
      <c r="T24" s="18">
        <f>SUMIFS(T$21:T$23,$C$21:$C$23,TRUE)*$B$12</f>
        <v>0</v>
      </c>
      <c r="U24" s="18">
        <f>SUMIFS(U$21:U$23,$C$21:$C$23,TRUE)*$B$12</f>
        <v>0</v>
      </c>
      <c r="V24" s="18">
        <f>SUMIFS(V$21:V$23,$C$21:$C$23,TRUE)*$B$12</f>
        <v>0</v>
      </c>
      <c r="W24" s="18">
        <f>SUMIFS(W$21:W$23,$C$21:$C$23,TRUE)*$B$12</f>
        <v>0</v>
      </c>
      <c r="X24" s="18">
        <f>SUMIFS(X$21:X$23,$C$21:$C$23,TRUE)*$B$12</f>
        <v>0</v>
      </c>
      <c r="Y24" s="18">
        <f>SUMIFS(Y$21:Y$23,$C$21:$C$23,TRUE)*$B$12</f>
        <v>0</v>
      </c>
      <c r="Z24" s="18">
        <f>SUMIFS(Z$21:Z$23,$C$21:$C$23,TRUE)*$B$12</f>
        <v>0</v>
      </c>
      <c r="AA24" s="18">
        <f>SUMIFS(AA$21:AA$23,$C$21:$C$23,TRUE)*$B$12</f>
        <v>0</v>
      </c>
      <c r="AB24" s="18">
        <f>SUMIFS(AB$21:AB$23,$C$21:$C$23,TRUE)*$B$12</f>
        <v>0</v>
      </c>
      <c r="AC24" s="18">
        <f>SUMIFS(AC$21:AC$23,$C$21:$C$23,TRUE)*$B$12</f>
        <v>0</v>
      </c>
      <c r="AD24" s="18">
        <f>SUMIFS(AD$21:AD$23,$C$21:$C$23,TRUE)*$B$12</f>
        <v>0</v>
      </c>
      <c r="AE24" s="18">
        <f>SUMIFS(AE$21:AE$23,$C$21:$C$23,TRUE)*$B$12</f>
        <v>0</v>
      </c>
      <c r="AF24" s="18">
        <f>SUMIFS(AF$21:AF$23,$C$21:$C$23,TRUE)*$B$12</f>
        <v>0</v>
      </c>
      <c r="AG24" s="18">
        <f>SUMIFS(AG$21:AG$23,$C$21:$C$23,TRUE)*$B$12</f>
        <v>0</v>
      </c>
      <c r="AH24" s="18">
        <f>SUMIFS(AH$21:AH$23,$C$21:$C$23,TRUE)*$B$12</f>
        <v>0</v>
      </c>
      <c r="AI24" s="18">
        <f>SUMIFS(AI$21:AI$23,$C$21:$C$23,TRUE)*$B$12</f>
        <v>0</v>
      </c>
      <c r="AJ24" s="18">
        <f>SUMIFS(AJ$21:AJ$23,$C$21:$C$23,TRUE)*$B$12</f>
        <v>0</v>
      </c>
      <c r="AK24" s="18">
        <f>SUMIFS(AK$21:AK$23,$C$21:$C$23,TRUE)*$B$12</f>
        <v>0</v>
      </c>
      <c r="AL24" s="18">
        <f>SUMIFS(AL$21:AL$23,$C$21:$C$23,TRUE)*$B$12</f>
        <v>0</v>
      </c>
    </row>
    <row r="26" spans="1:38" x14ac:dyDescent="0.2">
      <c r="A26" s="8" t="s">
        <v>54</v>
      </c>
    </row>
    <row r="27" spans="1:38" x14ac:dyDescent="0.2">
      <c r="A27" t="s">
        <v>55</v>
      </c>
      <c r="B27" t="s">
        <v>52</v>
      </c>
      <c r="C27" t="b">
        <v>0</v>
      </c>
      <c r="D27" s="10">
        <f>E27+NPV($K$5,F27:AK27)</f>
        <v>39599188.26322934</v>
      </c>
      <c r="E27" s="9">
        <f t="shared" ref="E27:F27" si="3">IF(E19&gt;$B$14,$H$13*POWER(1+$B$13,E$19-$B$14),0)*(1-(($B$14-ROUNDDOWN($B$14,0))*IF(E$19=ROUNDUP($B$14,0),1,0)))</f>
        <v>0</v>
      </c>
      <c r="F27" s="9">
        <f t="shared" si="3"/>
        <v>0</v>
      </c>
      <c r="G27" s="9">
        <f>IF(G19&gt;$B$14,$H$13*POWER(1+$B$13,G$19-$B$14),0)*(1-(($B$14-ROUNDDOWN($B$14,0))*IF(G$19=ROUNDUP($B$14,0),1,0)))</f>
        <v>0</v>
      </c>
      <c r="H27" s="9">
        <f t="shared" ref="H27:AL27" si="4">IF(H19&gt;$B$14,$H$13*POWER(1+$B$13,H$19-$B$14),0)*(1-(($B$14-ROUNDDOWN($B$14,0))*IF(H$19=ROUNDUP($B$14,0),1,0)))</f>
        <v>0</v>
      </c>
      <c r="I27" s="9">
        <f t="shared" si="4"/>
        <v>2069043.48</v>
      </c>
      <c r="J27" s="9">
        <f t="shared" si="4"/>
        <v>2110424.3495999998</v>
      </c>
      <c r="K27" s="9">
        <f t="shared" si="4"/>
        <v>2152632.836592</v>
      </c>
      <c r="L27" s="9">
        <f t="shared" si="4"/>
        <v>2195685.4933238397</v>
      </c>
      <c r="M27" s="9">
        <f t="shared" si="4"/>
        <v>2239599.2031903169</v>
      </c>
      <c r="N27" s="9">
        <f t="shared" si="4"/>
        <v>2284391.1872541234</v>
      </c>
      <c r="O27" s="9">
        <f t="shared" si="4"/>
        <v>2330079.0109992051</v>
      </c>
      <c r="P27" s="9">
        <f t="shared" si="4"/>
        <v>2376680.5912191896</v>
      </c>
      <c r="Q27" s="9">
        <f t="shared" si="4"/>
        <v>2424214.2030435735</v>
      </c>
      <c r="R27" s="9">
        <f t="shared" si="4"/>
        <v>2472698.4871044448</v>
      </c>
      <c r="S27" s="9">
        <f t="shared" si="4"/>
        <v>2522152.4568465333</v>
      </c>
      <c r="T27" s="9">
        <f t="shared" si="4"/>
        <v>2572595.5059834644</v>
      </c>
      <c r="U27" s="9">
        <f t="shared" si="4"/>
        <v>2624047.4161031335</v>
      </c>
      <c r="V27" s="9">
        <f t="shared" si="4"/>
        <v>2676528.3644251963</v>
      </c>
      <c r="W27" s="9">
        <f t="shared" si="4"/>
        <v>2730058.9317136998</v>
      </c>
      <c r="X27" s="9">
        <f t="shared" si="4"/>
        <v>2784660.1103479741</v>
      </c>
      <c r="Y27" s="9">
        <f t="shared" si="4"/>
        <v>2840353.3125549341</v>
      </c>
      <c r="Z27" s="9">
        <f t="shared" si="4"/>
        <v>2897160.3788060322</v>
      </c>
      <c r="AA27" s="9">
        <f t="shared" si="4"/>
        <v>2955103.586382153</v>
      </c>
      <c r="AB27" s="9">
        <f t="shared" si="4"/>
        <v>3014205.6581097962</v>
      </c>
      <c r="AC27" s="9">
        <f t="shared" si="4"/>
        <v>3074489.771271992</v>
      </c>
      <c r="AD27" s="9">
        <f t="shared" si="4"/>
        <v>3135979.5666974317</v>
      </c>
      <c r="AE27" s="9">
        <f t="shared" si="4"/>
        <v>3198699.1580313798</v>
      </c>
      <c r="AF27" s="9">
        <f t="shared" si="4"/>
        <v>3262673.1411920078</v>
      </c>
      <c r="AG27" s="9">
        <f t="shared" si="4"/>
        <v>3327926.6040158477</v>
      </c>
      <c r="AH27" s="9">
        <f t="shared" si="4"/>
        <v>3394485.136096165</v>
      </c>
      <c r="AI27" s="9">
        <f t="shared" si="4"/>
        <v>3462374.8388180877</v>
      </c>
      <c r="AJ27" s="9">
        <f t="shared" si="4"/>
        <v>3531622.3355944501</v>
      </c>
      <c r="AK27" s="9">
        <f t="shared" si="4"/>
        <v>3602254.7823063387</v>
      </c>
      <c r="AL27" s="9">
        <f t="shared" si="4"/>
        <v>3674299.8779524658</v>
      </c>
    </row>
    <row r="28" spans="1:38" x14ac:dyDescent="0.2">
      <c r="A28" t="s">
        <v>56</v>
      </c>
      <c r="B28" t="s">
        <v>52</v>
      </c>
      <c r="C28" t="b">
        <v>0</v>
      </c>
      <c r="D28" s="10">
        <f>E28+NPV($K$5,F28:AK28)</f>
        <v>1294286.3363553614</v>
      </c>
      <c r="E28" s="9">
        <f>IF(E19&gt;$B$14,$H$14*POWER(1+$B$13,E$19-$B$14),0)*(1-(($B$14-ROUNDDOWN($B$14,0))*IF(E$19=ROUNDUP($B$14,0),1,0)))</f>
        <v>0</v>
      </c>
      <c r="F28" s="9">
        <f t="shared" ref="F28:AL28" si="5">IF(F19&gt;$B$14,$H$14*POWER(1+$B$13,F$19-$B$14),0)*(1-(($B$14-ROUNDDOWN($B$14,0))*IF(F$19=ROUNDUP($B$14,0),1,0)))</f>
        <v>0</v>
      </c>
      <c r="G28" s="9">
        <f t="shared" si="5"/>
        <v>0</v>
      </c>
      <c r="H28" s="9">
        <f t="shared" si="5"/>
        <v>0</v>
      </c>
      <c r="I28" s="9">
        <f t="shared" si="5"/>
        <v>67626</v>
      </c>
      <c r="J28" s="9">
        <f t="shared" si="5"/>
        <v>68978.52</v>
      </c>
      <c r="K28" s="9">
        <f t="shared" si="5"/>
        <v>70358.090400000001</v>
      </c>
      <c r="L28" s="9">
        <f t="shared" si="5"/>
        <v>71765.252208000005</v>
      </c>
      <c r="M28" s="9">
        <f t="shared" si="5"/>
        <v>73200.557252159997</v>
      </c>
      <c r="N28" s="9">
        <f t="shared" si="5"/>
        <v>74664.568397203198</v>
      </c>
      <c r="O28" s="9">
        <f t="shared" si="5"/>
        <v>76157.859765147252</v>
      </c>
      <c r="P28" s="9">
        <f t="shared" si="5"/>
        <v>77681.016960450201</v>
      </c>
      <c r="Q28" s="9">
        <f t="shared" si="5"/>
        <v>79234.637299659211</v>
      </c>
      <c r="R28" s="9">
        <f t="shared" si="5"/>
        <v>80819.330045652401</v>
      </c>
      <c r="S28" s="9">
        <f t="shared" si="5"/>
        <v>82435.71664656543</v>
      </c>
      <c r="T28" s="9">
        <f t="shared" si="5"/>
        <v>84084.430979496756</v>
      </c>
      <c r="U28" s="9">
        <f t="shared" si="5"/>
        <v>85766.119599086684</v>
      </c>
      <c r="V28" s="9">
        <f t="shared" si="5"/>
        <v>87481.441991068423</v>
      </c>
      <c r="W28" s="9">
        <f t="shared" si="5"/>
        <v>89231.070830889774</v>
      </c>
      <c r="X28" s="9">
        <f t="shared" si="5"/>
        <v>91015.692247507584</v>
      </c>
      <c r="Y28" s="9">
        <f t="shared" si="5"/>
        <v>92836.006092457741</v>
      </c>
      <c r="Z28" s="9">
        <f t="shared" si="5"/>
        <v>94692.72621430688</v>
      </c>
      <c r="AA28" s="9">
        <f t="shared" si="5"/>
        <v>96586.580738593009</v>
      </c>
      <c r="AB28" s="9">
        <f t="shared" si="5"/>
        <v>98518.31235336489</v>
      </c>
      <c r="AC28" s="9">
        <f t="shared" si="5"/>
        <v>100488.67860043218</v>
      </c>
      <c r="AD28" s="9">
        <f t="shared" si="5"/>
        <v>102498.45217244083</v>
      </c>
      <c r="AE28" s="9">
        <f t="shared" si="5"/>
        <v>104548.42121588963</v>
      </c>
      <c r="AF28" s="9">
        <f t="shared" si="5"/>
        <v>106639.38964020742</v>
      </c>
      <c r="AG28" s="9">
        <f t="shared" si="5"/>
        <v>108772.17743301157</v>
      </c>
      <c r="AH28" s="9">
        <f t="shared" si="5"/>
        <v>110947.62098167182</v>
      </c>
      <c r="AI28" s="9">
        <f t="shared" si="5"/>
        <v>113166.57340130523</v>
      </c>
      <c r="AJ28" s="9">
        <f t="shared" si="5"/>
        <v>115429.90486933135</v>
      </c>
      <c r="AK28" s="9">
        <f t="shared" si="5"/>
        <v>117738.50296671796</v>
      </c>
      <c r="AL28" s="9">
        <f t="shared" si="5"/>
        <v>120093.27302605234</v>
      </c>
    </row>
    <row r="29" spans="1:38" x14ac:dyDescent="0.2">
      <c r="A29" t="s">
        <v>57</v>
      </c>
      <c r="C29" t="b">
        <v>0</v>
      </c>
      <c r="D29" s="10">
        <f>E29+NPV($K$5,F29:AK29)</f>
        <v>-7579434.8410751056</v>
      </c>
      <c r="E29" s="9">
        <f>IF(E27&gt;0,$B$6*$K$13*POWER(1+$B$13,E$19-$B$14),0)</f>
        <v>0</v>
      </c>
      <c r="F29" s="9">
        <f t="shared" ref="F29:AL29" si="6">IF(F27&gt;0,$B$6*$K$13*POWER(1+$B$13,F$19-$B$14),0)</f>
        <v>0</v>
      </c>
      <c r="G29" s="9">
        <f t="shared" si="6"/>
        <v>0</v>
      </c>
      <c r="H29" s="9">
        <f t="shared" si="6"/>
        <v>0</v>
      </c>
      <c r="I29" s="9">
        <f t="shared" si="6"/>
        <v>-396022.77036000002</v>
      </c>
      <c r="J29" s="9">
        <f t="shared" si="6"/>
        <v>-403943.2257672</v>
      </c>
      <c r="K29" s="9">
        <f t="shared" si="6"/>
        <v>-412022.09028254397</v>
      </c>
      <c r="L29" s="9">
        <f t="shared" si="6"/>
        <v>-420262.53208819492</v>
      </c>
      <c r="M29" s="9">
        <f t="shared" si="6"/>
        <v>-428667.78272995882</v>
      </c>
      <c r="N29" s="9">
        <f t="shared" si="6"/>
        <v>-437241.13838455803</v>
      </c>
      <c r="O29" s="9">
        <f t="shared" si="6"/>
        <v>-445985.96115224907</v>
      </c>
      <c r="P29" s="9">
        <f t="shared" si="6"/>
        <v>-454905.68037529406</v>
      </c>
      <c r="Q29" s="9">
        <f t="shared" si="6"/>
        <v>-464003.79398279998</v>
      </c>
      <c r="R29" s="9">
        <f t="shared" si="6"/>
        <v>-473283.86986245599</v>
      </c>
      <c r="S29" s="9">
        <f t="shared" si="6"/>
        <v>-482749.54725970502</v>
      </c>
      <c r="T29" s="9">
        <f t="shared" si="6"/>
        <v>-492404.53820489917</v>
      </c>
      <c r="U29" s="9">
        <f t="shared" si="6"/>
        <v>-502252.62896899716</v>
      </c>
      <c r="V29" s="9">
        <f t="shared" si="6"/>
        <v>-512297.68154837715</v>
      </c>
      <c r="W29" s="9">
        <f t="shared" si="6"/>
        <v>-522543.63517934456</v>
      </c>
      <c r="X29" s="9">
        <f t="shared" si="6"/>
        <v>-532994.5078829315</v>
      </c>
      <c r="Y29" s="9">
        <f t="shared" si="6"/>
        <v>-543654.39804059023</v>
      </c>
      <c r="Z29" s="9">
        <f t="shared" si="6"/>
        <v>-554527.48600140191</v>
      </c>
      <c r="AA29" s="9">
        <f t="shared" si="6"/>
        <v>-565618.03572142997</v>
      </c>
      <c r="AB29" s="9">
        <f t="shared" si="6"/>
        <v>-576930.39643585857</v>
      </c>
      <c r="AC29" s="9">
        <f t="shared" si="6"/>
        <v>-588469.00436457573</v>
      </c>
      <c r="AD29" s="9">
        <f t="shared" si="6"/>
        <v>-600238.38445186731</v>
      </c>
      <c r="AE29" s="9">
        <f t="shared" si="6"/>
        <v>-612243.15214090457</v>
      </c>
      <c r="AF29" s="9">
        <f t="shared" si="6"/>
        <v>-624488.0151837226</v>
      </c>
      <c r="AG29" s="9">
        <f t="shared" si="6"/>
        <v>-636977.7754873971</v>
      </c>
      <c r="AH29" s="9">
        <f t="shared" si="6"/>
        <v>-649717.33099714515</v>
      </c>
      <c r="AI29" s="9">
        <f t="shared" si="6"/>
        <v>-662711.67761708784</v>
      </c>
      <c r="AJ29" s="9">
        <f t="shared" si="6"/>
        <v>-675965.91116942978</v>
      </c>
      <c r="AK29" s="9">
        <f t="shared" si="6"/>
        <v>-689485.22939281829</v>
      </c>
      <c r="AL29" s="9">
        <f t="shared" si="6"/>
        <v>-703274.93398067472</v>
      </c>
    </row>
    <row r="30" spans="1:38" x14ac:dyDescent="0.2">
      <c r="A30" t="s">
        <v>58</v>
      </c>
      <c r="C30" t="b">
        <v>0</v>
      </c>
      <c r="D30" s="10">
        <f>E30+NPV($K$5,F30:AK30)</f>
        <v>2790741.4560646713</v>
      </c>
      <c r="E30" s="9">
        <f>-E22</f>
        <v>0</v>
      </c>
      <c r="F30" s="9">
        <f t="shared" ref="F30" si="7">-F22</f>
        <v>0</v>
      </c>
      <c r="G30" s="9">
        <f>-G22</f>
        <v>0</v>
      </c>
      <c r="H30" s="9">
        <f>-H22</f>
        <v>0</v>
      </c>
      <c r="I30" s="9">
        <f>-I22</f>
        <v>0</v>
      </c>
      <c r="J30" s="9">
        <f>-J22</f>
        <v>0</v>
      </c>
      <c r="K30" s="9">
        <f>-K22</f>
        <v>0</v>
      </c>
      <c r="L30" s="9">
        <f>-L22</f>
        <v>0</v>
      </c>
      <c r="M30" s="9">
        <f>-M22</f>
        <v>0</v>
      </c>
      <c r="N30" s="9">
        <f>-N22</f>
        <v>0</v>
      </c>
      <c r="O30" s="9">
        <f>-O22</f>
        <v>0</v>
      </c>
      <c r="P30" s="9">
        <f>-P22</f>
        <v>0</v>
      </c>
      <c r="Q30" s="9">
        <f>-Q22</f>
        <v>0</v>
      </c>
      <c r="R30" s="9">
        <f>-R22</f>
        <v>2773268.7</v>
      </c>
      <c r="S30" s="9">
        <f>-S22</f>
        <v>0</v>
      </c>
      <c r="T30" s="9">
        <f>-T22</f>
        <v>0</v>
      </c>
      <c r="U30" s="9">
        <f>-U22</f>
        <v>0</v>
      </c>
      <c r="V30" s="9">
        <f>-V22</f>
        <v>0</v>
      </c>
      <c r="W30" s="9">
        <f>-W22</f>
        <v>0</v>
      </c>
      <c r="X30" s="9">
        <f>-X22</f>
        <v>0</v>
      </c>
      <c r="Y30" s="9">
        <f>-Y22</f>
        <v>0</v>
      </c>
      <c r="Z30" s="9">
        <f>-Z22</f>
        <v>0</v>
      </c>
      <c r="AA30" s="9">
        <f>-AA22</f>
        <v>0</v>
      </c>
      <c r="AB30" s="9">
        <f>-AB22</f>
        <v>2773268.7</v>
      </c>
      <c r="AC30" s="9">
        <f>-AC22</f>
        <v>0</v>
      </c>
      <c r="AD30" s="9">
        <f>-AD22</f>
        <v>0</v>
      </c>
      <c r="AE30" s="9">
        <f>-AE22</f>
        <v>0</v>
      </c>
      <c r="AF30" s="9">
        <f>-AF22</f>
        <v>0</v>
      </c>
      <c r="AG30" s="9">
        <f>-AG22</f>
        <v>0</v>
      </c>
      <c r="AH30" s="9">
        <f>-AH22</f>
        <v>0</v>
      </c>
      <c r="AI30" s="9">
        <f>-AI22</f>
        <v>0</v>
      </c>
      <c r="AJ30" s="9">
        <f>-AJ22</f>
        <v>0</v>
      </c>
      <c r="AK30" s="9">
        <f>-AK22</f>
        <v>0</v>
      </c>
      <c r="AL30" s="9">
        <f>-AL22</f>
        <v>2773268.7</v>
      </c>
    </row>
    <row r="31" spans="1:38" s="16" customFormat="1" x14ac:dyDescent="0.2">
      <c r="A31" s="15" t="s">
        <v>59</v>
      </c>
      <c r="E31" s="18">
        <v>0</v>
      </c>
      <c r="F31" s="18">
        <f>E31-F29-F30</f>
        <v>0</v>
      </c>
      <c r="G31" s="18">
        <f t="shared" ref="G31:AL31" si="8">F31-G29-G30</f>
        <v>0</v>
      </c>
      <c r="H31" s="18">
        <f t="shared" si="8"/>
        <v>0</v>
      </c>
      <c r="I31" s="18">
        <f t="shared" si="8"/>
        <v>396022.77036000002</v>
      </c>
      <c r="J31" s="18">
        <f t="shared" si="8"/>
        <v>799965.99612720008</v>
      </c>
      <c r="K31" s="18">
        <f t="shared" si="8"/>
        <v>1211988.0864097441</v>
      </c>
      <c r="L31" s="18">
        <f t="shared" si="8"/>
        <v>1632250.6184979391</v>
      </c>
      <c r="M31" s="18">
        <f t="shared" si="8"/>
        <v>2060918.401227898</v>
      </c>
      <c r="N31" s="18">
        <f t="shared" si="8"/>
        <v>2498159.5396124562</v>
      </c>
      <c r="O31" s="18">
        <f t="shared" si="8"/>
        <v>2944145.5007647052</v>
      </c>
      <c r="P31" s="18">
        <f t="shared" si="8"/>
        <v>3399051.1811399991</v>
      </c>
      <c r="Q31" s="18">
        <f t="shared" si="8"/>
        <v>3863054.9751227992</v>
      </c>
      <c r="R31" s="18">
        <f t="shared" si="8"/>
        <v>1563070.1449852549</v>
      </c>
      <c r="S31" s="18">
        <f t="shared" si="8"/>
        <v>2045819.69224496</v>
      </c>
      <c r="T31" s="18">
        <f t="shared" si="8"/>
        <v>2538224.2304498591</v>
      </c>
      <c r="U31" s="18">
        <f t="shared" si="8"/>
        <v>3040476.859418856</v>
      </c>
      <c r="V31" s="18">
        <f t="shared" si="8"/>
        <v>3552774.540967233</v>
      </c>
      <c r="W31" s="18">
        <f t="shared" si="8"/>
        <v>4075318.1761465776</v>
      </c>
      <c r="X31" s="18">
        <f t="shared" si="8"/>
        <v>4608312.6840295093</v>
      </c>
      <c r="Y31" s="18">
        <f t="shared" si="8"/>
        <v>5151967.0820700992</v>
      </c>
      <c r="Z31" s="18">
        <f t="shared" si="8"/>
        <v>5706494.5680715013</v>
      </c>
      <c r="AA31" s="18">
        <f t="shared" si="8"/>
        <v>6272112.603792931</v>
      </c>
      <c r="AB31" s="18">
        <f t="shared" si="8"/>
        <v>4075774.3002287894</v>
      </c>
      <c r="AC31" s="18">
        <f t="shared" si="8"/>
        <v>4664243.3045933656</v>
      </c>
      <c r="AD31" s="18">
        <f t="shared" si="8"/>
        <v>5264481.6890452327</v>
      </c>
      <c r="AE31" s="18">
        <f t="shared" si="8"/>
        <v>5876724.8411861369</v>
      </c>
      <c r="AF31" s="18">
        <f t="shared" si="8"/>
        <v>6501212.8563698595</v>
      </c>
      <c r="AG31" s="18">
        <f t="shared" si="8"/>
        <v>7138190.6318572564</v>
      </c>
      <c r="AH31" s="18">
        <f t="shared" si="8"/>
        <v>7787907.9628544012</v>
      </c>
      <c r="AI31" s="18">
        <f t="shared" si="8"/>
        <v>8450619.6404714882</v>
      </c>
      <c r="AJ31" s="18">
        <f t="shared" si="8"/>
        <v>9126585.5516409185</v>
      </c>
      <c r="AK31" s="18">
        <f t="shared" si="8"/>
        <v>9816070.7810337376</v>
      </c>
      <c r="AL31" s="18">
        <f t="shared" si="8"/>
        <v>7746077.0150144128</v>
      </c>
    </row>
    <row r="33" spans="1:38" x14ac:dyDescent="0.2">
      <c r="A33" s="8" t="s">
        <v>60</v>
      </c>
    </row>
    <row r="34" spans="1:38" x14ac:dyDescent="0.2">
      <c r="A34" t="s">
        <v>61</v>
      </c>
      <c r="B34" t="s">
        <v>50</v>
      </c>
      <c r="C34" t="b">
        <v>0</v>
      </c>
      <c r="D34" s="10">
        <f t="shared" ref="D34:D40" si="9">E34+NPV($K$5,F34:AK34)</f>
        <v>52346709.010497272</v>
      </c>
      <c r="E34" s="9">
        <f>IF($B$21="BOB",IF(E18&gt;0,-E21-E24,0),0)</f>
        <v>13866343.5</v>
      </c>
      <c r="F34" s="9">
        <f t="shared" ref="F34:AL34" si="10">IF($B$21="BOB",IF(F18&gt;0,-F21-F24,0),0)</f>
        <v>13866343.5</v>
      </c>
      <c r="G34" s="9">
        <f t="shared" si="10"/>
        <v>13866343.5</v>
      </c>
      <c r="H34" s="9">
        <f t="shared" si="10"/>
        <v>13866343.5</v>
      </c>
      <c r="I34" s="9">
        <f t="shared" si="10"/>
        <v>0</v>
      </c>
      <c r="J34" s="9">
        <f t="shared" si="10"/>
        <v>0</v>
      </c>
      <c r="K34" s="9">
        <f t="shared" si="10"/>
        <v>0</v>
      </c>
      <c r="L34" s="9">
        <f t="shared" si="10"/>
        <v>0</v>
      </c>
      <c r="M34" s="9">
        <f t="shared" si="10"/>
        <v>0</v>
      </c>
      <c r="N34" s="9">
        <f t="shared" si="10"/>
        <v>0</v>
      </c>
      <c r="O34" s="9">
        <f t="shared" si="10"/>
        <v>0</v>
      </c>
      <c r="P34" s="9">
        <f t="shared" si="10"/>
        <v>0</v>
      </c>
      <c r="Q34" s="9">
        <f t="shared" si="10"/>
        <v>0</v>
      </c>
      <c r="R34" s="9">
        <f t="shared" si="10"/>
        <v>0</v>
      </c>
      <c r="S34" s="9">
        <f t="shared" si="10"/>
        <v>0</v>
      </c>
      <c r="T34" s="9">
        <f t="shared" si="10"/>
        <v>0</v>
      </c>
      <c r="U34" s="9">
        <f t="shared" si="10"/>
        <v>0</v>
      </c>
      <c r="V34" s="9">
        <f t="shared" si="10"/>
        <v>0</v>
      </c>
      <c r="W34" s="9">
        <f t="shared" si="10"/>
        <v>0</v>
      </c>
      <c r="X34" s="9">
        <f t="shared" si="10"/>
        <v>0</v>
      </c>
      <c r="Y34" s="9">
        <f t="shared" si="10"/>
        <v>0</v>
      </c>
      <c r="Z34" s="9">
        <f t="shared" si="10"/>
        <v>0</v>
      </c>
      <c r="AA34" s="9">
        <f t="shared" si="10"/>
        <v>0</v>
      </c>
      <c r="AB34" s="9">
        <f t="shared" si="10"/>
        <v>0</v>
      </c>
      <c r="AC34" s="9">
        <f t="shared" si="10"/>
        <v>0</v>
      </c>
      <c r="AD34" s="9">
        <f t="shared" si="10"/>
        <v>0</v>
      </c>
      <c r="AE34" s="9">
        <f t="shared" si="10"/>
        <v>0</v>
      </c>
      <c r="AF34" s="9">
        <f t="shared" si="10"/>
        <v>0</v>
      </c>
      <c r="AG34" s="9">
        <f t="shared" si="10"/>
        <v>0</v>
      </c>
      <c r="AH34" s="9">
        <f t="shared" si="10"/>
        <v>0</v>
      </c>
      <c r="AI34" s="9">
        <f t="shared" si="10"/>
        <v>0</v>
      </c>
      <c r="AJ34" s="9">
        <f t="shared" si="10"/>
        <v>0</v>
      </c>
      <c r="AK34" s="9">
        <f t="shared" si="10"/>
        <v>0</v>
      </c>
      <c r="AL34" s="9">
        <f t="shared" si="10"/>
        <v>0</v>
      </c>
    </row>
    <row r="35" spans="1:38" x14ac:dyDescent="0.2">
      <c r="A35" t="s">
        <v>62</v>
      </c>
      <c r="B35" t="s">
        <v>52</v>
      </c>
      <c r="C35" t="b">
        <v>0</v>
      </c>
      <c r="D35" s="10">
        <f t="shared" si="9"/>
        <v>14002140.703231677</v>
      </c>
      <c r="E35" s="26">
        <f>IF(E$19=ROUNDUP($B$14,0),IF($B$21="BOB",$H$12,$H$11)*$H$7,0)</f>
        <v>0</v>
      </c>
      <c r="F35" s="26">
        <f t="shared" ref="F35:AL35" si="11">IF(F$19=ROUNDUP($B$14,0),IF($B$21="BOB",$H$12,$H$11)*$H$7,0)</f>
        <v>0</v>
      </c>
      <c r="G35" s="26">
        <f t="shared" si="11"/>
        <v>0</v>
      </c>
      <c r="H35" s="26">
        <f t="shared" si="11"/>
        <v>15750504</v>
      </c>
      <c r="I35" s="26">
        <f t="shared" si="11"/>
        <v>0</v>
      </c>
      <c r="J35" s="26">
        <f t="shared" si="11"/>
        <v>0</v>
      </c>
      <c r="K35" s="26">
        <f t="shared" si="11"/>
        <v>0</v>
      </c>
      <c r="L35" s="26">
        <f t="shared" si="11"/>
        <v>0</v>
      </c>
      <c r="M35" s="26">
        <f t="shared" si="11"/>
        <v>0</v>
      </c>
      <c r="N35" s="26">
        <f t="shared" si="11"/>
        <v>0</v>
      </c>
      <c r="O35" s="26">
        <f t="shared" si="11"/>
        <v>0</v>
      </c>
      <c r="P35" s="26">
        <f t="shared" si="11"/>
        <v>0</v>
      </c>
      <c r="Q35" s="26">
        <f t="shared" si="11"/>
        <v>0</v>
      </c>
      <c r="R35" s="26">
        <f t="shared" si="11"/>
        <v>0</v>
      </c>
      <c r="S35" s="26">
        <f t="shared" si="11"/>
        <v>0</v>
      </c>
      <c r="T35" s="26">
        <f t="shared" si="11"/>
        <v>0</v>
      </c>
      <c r="U35" s="26">
        <f t="shared" si="11"/>
        <v>0</v>
      </c>
      <c r="V35" s="26">
        <f t="shared" si="11"/>
        <v>0</v>
      </c>
      <c r="W35" s="26">
        <f t="shared" si="11"/>
        <v>0</v>
      </c>
      <c r="X35" s="26">
        <f t="shared" si="11"/>
        <v>0</v>
      </c>
      <c r="Y35" s="26">
        <f t="shared" si="11"/>
        <v>0</v>
      </c>
      <c r="Z35" s="26">
        <f t="shared" si="11"/>
        <v>0</v>
      </c>
      <c r="AA35" s="26">
        <f t="shared" si="11"/>
        <v>0</v>
      </c>
      <c r="AB35" s="26">
        <f t="shared" si="11"/>
        <v>0</v>
      </c>
      <c r="AC35" s="26">
        <f t="shared" si="11"/>
        <v>0</v>
      </c>
      <c r="AD35" s="26">
        <f t="shared" si="11"/>
        <v>0</v>
      </c>
      <c r="AE35" s="26">
        <f t="shared" si="11"/>
        <v>0</v>
      </c>
      <c r="AF35" s="26">
        <f t="shared" si="11"/>
        <v>0</v>
      </c>
      <c r="AG35" s="26">
        <f t="shared" si="11"/>
        <v>0</v>
      </c>
      <c r="AH35" s="26">
        <f t="shared" si="11"/>
        <v>0</v>
      </c>
      <c r="AI35" s="26">
        <f t="shared" si="11"/>
        <v>0</v>
      </c>
      <c r="AJ35" s="26">
        <f t="shared" si="11"/>
        <v>0</v>
      </c>
      <c r="AK35" s="26">
        <f t="shared" si="11"/>
        <v>0</v>
      </c>
      <c r="AL35" s="26">
        <f t="shared" si="11"/>
        <v>0</v>
      </c>
    </row>
    <row r="36" spans="1:38" x14ac:dyDescent="0.2">
      <c r="A36" t="s">
        <v>63</v>
      </c>
      <c r="B36" t="s">
        <v>52</v>
      </c>
      <c r="C36" t="b">
        <v>0</v>
      </c>
      <c r="D36" s="10">
        <f t="shared" si="9"/>
        <v>21003211.054847516</v>
      </c>
      <c r="E36" s="9">
        <f>IF(E$19=ROUNDUP($B$14,0),IF($B$21="BOB",$H$12,$H$11)*(1-$H$7),0)</f>
        <v>0</v>
      </c>
      <c r="F36" s="9">
        <f t="shared" ref="F36:AL36" si="12">IF(F$19=ROUNDUP($B$14,0),IF($B$21="BOB",$H$12,$H$11)*(1-$H$7),0)</f>
        <v>0</v>
      </c>
      <c r="G36" s="9">
        <f t="shared" si="12"/>
        <v>0</v>
      </c>
      <c r="H36" s="9">
        <f t="shared" si="12"/>
        <v>23625756</v>
      </c>
      <c r="I36" s="9">
        <f t="shared" si="12"/>
        <v>0</v>
      </c>
      <c r="J36" s="9">
        <f t="shared" si="12"/>
        <v>0</v>
      </c>
      <c r="K36" s="9">
        <f t="shared" si="12"/>
        <v>0</v>
      </c>
      <c r="L36" s="9">
        <f t="shared" si="12"/>
        <v>0</v>
      </c>
      <c r="M36" s="9">
        <f t="shared" si="12"/>
        <v>0</v>
      </c>
      <c r="N36" s="9">
        <f t="shared" si="12"/>
        <v>0</v>
      </c>
      <c r="O36" s="9">
        <f t="shared" si="12"/>
        <v>0</v>
      </c>
      <c r="P36" s="9">
        <f t="shared" si="12"/>
        <v>0</v>
      </c>
      <c r="Q36" s="9">
        <f t="shared" si="12"/>
        <v>0</v>
      </c>
      <c r="R36" s="9">
        <f t="shared" si="12"/>
        <v>0</v>
      </c>
      <c r="S36" s="9">
        <f t="shared" si="12"/>
        <v>0</v>
      </c>
      <c r="T36" s="9">
        <f t="shared" si="12"/>
        <v>0</v>
      </c>
      <c r="U36" s="9">
        <f t="shared" si="12"/>
        <v>0</v>
      </c>
      <c r="V36" s="9">
        <f t="shared" si="12"/>
        <v>0</v>
      </c>
      <c r="W36" s="9">
        <f t="shared" si="12"/>
        <v>0</v>
      </c>
      <c r="X36" s="9">
        <f t="shared" si="12"/>
        <v>0</v>
      </c>
      <c r="Y36" s="9">
        <f t="shared" si="12"/>
        <v>0</v>
      </c>
      <c r="Z36" s="9">
        <f t="shared" si="12"/>
        <v>0</v>
      </c>
      <c r="AA36" s="9">
        <f t="shared" si="12"/>
        <v>0</v>
      </c>
      <c r="AB36" s="9">
        <f t="shared" si="12"/>
        <v>0</v>
      </c>
      <c r="AC36" s="9">
        <f t="shared" si="12"/>
        <v>0</v>
      </c>
      <c r="AD36" s="9">
        <f t="shared" si="12"/>
        <v>0</v>
      </c>
      <c r="AE36" s="9">
        <f t="shared" si="12"/>
        <v>0</v>
      </c>
      <c r="AF36" s="9">
        <f t="shared" si="12"/>
        <v>0</v>
      </c>
      <c r="AG36" s="9">
        <f t="shared" si="12"/>
        <v>0</v>
      </c>
      <c r="AH36" s="9">
        <f t="shared" si="12"/>
        <v>0</v>
      </c>
      <c r="AI36" s="9">
        <f t="shared" si="12"/>
        <v>0</v>
      </c>
      <c r="AJ36" s="9">
        <f t="shared" si="12"/>
        <v>0</v>
      </c>
      <c r="AK36" s="9">
        <f t="shared" si="12"/>
        <v>0</v>
      </c>
      <c r="AL36" s="9">
        <f t="shared" si="12"/>
        <v>0</v>
      </c>
    </row>
    <row r="37" spans="1:38" x14ac:dyDescent="0.2">
      <c r="A37" t="s">
        <v>64</v>
      </c>
      <c r="B37" t="s">
        <v>52</v>
      </c>
      <c r="C37" t="b">
        <v>0</v>
      </c>
      <c r="D37" s="10">
        <f t="shared" si="9"/>
        <v>15715431.80348913</v>
      </c>
      <c r="E37" s="9">
        <f>IF(E$19=ROUNDUP($B$14,0),$N$10,0)</f>
        <v>0</v>
      </c>
      <c r="F37" s="9">
        <f t="shared" ref="F37:AL37" si="13">IF(F$19=ROUNDUP($B$14,0),$N$10,0)</f>
        <v>0</v>
      </c>
      <c r="G37" s="9">
        <f t="shared" si="13"/>
        <v>0</v>
      </c>
      <c r="H37" s="9">
        <f t="shared" si="13"/>
        <v>17677723.4802</v>
      </c>
      <c r="I37" s="9">
        <f t="shared" si="13"/>
        <v>0</v>
      </c>
      <c r="J37" s="9">
        <f t="shared" si="13"/>
        <v>0</v>
      </c>
      <c r="K37" s="9">
        <f t="shared" si="13"/>
        <v>0</v>
      </c>
      <c r="L37" s="9">
        <f t="shared" si="13"/>
        <v>0</v>
      </c>
      <c r="M37" s="9">
        <f t="shared" si="13"/>
        <v>0</v>
      </c>
      <c r="N37" s="9">
        <f t="shared" si="13"/>
        <v>0</v>
      </c>
      <c r="O37" s="9">
        <f t="shared" si="13"/>
        <v>0</v>
      </c>
      <c r="P37" s="9">
        <f t="shared" si="13"/>
        <v>0</v>
      </c>
      <c r="Q37" s="9">
        <f t="shared" si="13"/>
        <v>0</v>
      </c>
      <c r="R37" s="9">
        <f t="shared" si="13"/>
        <v>0</v>
      </c>
      <c r="S37" s="9">
        <f t="shared" si="13"/>
        <v>0</v>
      </c>
      <c r="T37" s="9">
        <f t="shared" si="13"/>
        <v>0</v>
      </c>
      <c r="U37" s="9">
        <f t="shared" si="13"/>
        <v>0</v>
      </c>
      <c r="V37" s="9">
        <f t="shared" si="13"/>
        <v>0</v>
      </c>
      <c r="W37" s="9">
        <f t="shared" si="13"/>
        <v>0</v>
      </c>
      <c r="X37" s="9">
        <f t="shared" si="13"/>
        <v>0</v>
      </c>
      <c r="Y37" s="9">
        <f t="shared" si="13"/>
        <v>0</v>
      </c>
      <c r="Z37" s="9">
        <f t="shared" si="13"/>
        <v>0</v>
      </c>
      <c r="AA37" s="9">
        <f t="shared" si="13"/>
        <v>0</v>
      </c>
      <c r="AB37" s="9">
        <f t="shared" si="13"/>
        <v>0</v>
      </c>
      <c r="AC37" s="9">
        <f t="shared" si="13"/>
        <v>0</v>
      </c>
      <c r="AD37" s="9">
        <f t="shared" si="13"/>
        <v>0</v>
      </c>
      <c r="AE37" s="9">
        <f t="shared" si="13"/>
        <v>0</v>
      </c>
      <c r="AF37" s="9">
        <f t="shared" si="13"/>
        <v>0</v>
      </c>
      <c r="AG37" s="9">
        <f t="shared" si="13"/>
        <v>0</v>
      </c>
      <c r="AH37" s="9">
        <f t="shared" si="13"/>
        <v>0</v>
      </c>
      <c r="AI37" s="9">
        <f t="shared" si="13"/>
        <v>0</v>
      </c>
      <c r="AJ37" s="9">
        <f t="shared" si="13"/>
        <v>0</v>
      </c>
      <c r="AK37" s="9">
        <f t="shared" si="13"/>
        <v>0</v>
      </c>
      <c r="AL37" s="9">
        <f t="shared" si="13"/>
        <v>0</v>
      </c>
    </row>
    <row r="38" spans="1:38" x14ac:dyDescent="0.2">
      <c r="A38" t="s">
        <v>65</v>
      </c>
      <c r="B38" t="s">
        <v>52</v>
      </c>
      <c r="C38" t="b">
        <v>0</v>
      </c>
      <c r="D38" s="10">
        <f t="shared" si="9"/>
        <v>-50720783.561568327</v>
      </c>
      <c r="E38" s="9">
        <f>IF($B$21="BOB",IF(E$19=ROUNDUP($B$14,0),-$H$12-$N$12,0),0)</f>
        <v>0</v>
      </c>
      <c r="F38" s="9">
        <f t="shared" ref="F38:AL38" si="14">IF($B$21="BOB",IF(F$19=ROUNDUP($B$14,0),-$H$12-$N$12,0),0)</f>
        <v>0</v>
      </c>
      <c r="G38" s="9">
        <f t="shared" si="14"/>
        <v>0</v>
      </c>
      <c r="H38" s="9">
        <f t="shared" si="14"/>
        <v>-57053983.4802</v>
      </c>
      <c r="I38" s="9">
        <f t="shared" si="14"/>
        <v>0</v>
      </c>
      <c r="J38" s="9">
        <f t="shared" si="14"/>
        <v>0</v>
      </c>
      <c r="K38" s="9">
        <f t="shared" si="14"/>
        <v>0</v>
      </c>
      <c r="L38" s="9">
        <f t="shared" si="14"/>
        <v>0</v>
      </c>
      <c r="M38" s="9">
        <f t="shared" si="14"/>
        <v>0</v>
      </c>
      <c r="N38" s="9">
        <f t="shared" si="14"/>
        <v>0</v>
      </c>
      <c r="O38" s="9">
        <f t="shared" si="14"/>
        <v>0</v>
      </c>
      <c r="P38" s="9">
        <f t="shared" si="14"/>
        <v>0</v>
      </c>
      <c r="Q38" s="9">
        <f t="shared" si="14"/>
        <v>0</v>
      </c>
      <c r="R38" s="9">
        <f t="shared" si="14"/>
        <v>0</v>
      </c>
      <c r="S38" s="9">
        <f t="shared" si="14"/>
        <v>0</v>
      </c>
      <c r="T38" s="9">
        <f t="shared" si="14"/>
        <v>0</v>
      </c>
      <c r="U38" s="9">
        <f t="shared" si="14"/>
        <v>0</v>
      </c>
      <c r="V38" s="9">
        <f t="shared" si="14"/>
        <v>0</v>
      </c>
      <c r="W38" s="9">
        <f t="shared" si="14"/>
        <v>0</v>
      </c>
      <c r="X38" s="9">
        <f t="shared" si="14"/>
        <v>0</v>
      </c>
      <c r="Y38" s="9">
        <f t="shared" si="14"/>
        <v>0</v>
      </c>
      <c r="Z38" s="9">
        <f t="shared" si="14"/>
        <v>0</v>
      </c>
      <c r="AA38" s="9">
        <f t="shared" si="14"/>
        <v>0</v>
      </c>
      <c r="AB38" s="9">
        <f t="shared" si="14"/>
        <v>0</v>
      </c>
      <c r="AC38" s="9">
        <f t="shared" si="14"/>
        <v>0</v>
      </c>
      <c r="AD38" s="9">
        <f t="shared" si="14"/>
        <v>0</v>
      </c>
      <c r="AE38" s="9">
        <f t="shared" si="14"/>
        <v>0</v>
      </c>
      <c r="AF38" s="9">
        <f t="shared" si="14"/>
        <v>0</v>
      </c>
      <c r="AG38" s="9">
        <f t="shared" si="14"/>
        <v>0</v>
      </c>
      <c r="AH38" s="9">
        <f t="shared" si="14"/>
        <v>0</v>
      </c>
      <c r="AI38" s="9">
        <f t="shared" si="14"/>
        <v>0</v>
      </c>
      <c r="AJ38" s="9">
        <f t="shared" si="14"/>
        <v>0</v>
      </c>
      <c r="AK38" s="9">
        <f t="shared" si="14"/>
        <v>0</v>
      </c>
      <c r="AL38" s="9">
        <f t="shared" si="14"/>
        <v>0</v>
      </c>
    </row>
    <row r="39" spans="1:38" x14ac:dyDescent="0.2">
      <c r="A39" t="s">
        <v>66</v>
      </c>
      <c r="B39" t="s">
        <v>50</v>
      </c>
      <c r="C39" t="b">
        <v>1</v>
      </c>
      <c r="D39" s="10">
        <f t="shared" si="9"/>
        <v>48305508.153874591</v>
      </c>
      <c r="E39" s="9">
        <f>-E38/(1+$B$11)</f>
        <v>0</v>
      </c>
      <c r="F39" s="9">
        <f t="shared" ref="F39:AL39" si="15">-F38/(1+$B$11)</f>
        <v>0</v>
      </c>
      <c r="G39" s="9">
        <f t="shared" si="15"/>
        <v>0</v>
      </c>
      <c r="H39" s="9">
        <f t="shared" si="15"/>
        <v>54337127.123999998</v>
      </c>
      <c r="I39" s="9">
        <f t="shared" si="15"/>
        <v>0</v>
      </c>
      <c r="J39" s="9">
        <f t="shared" si="15"/>
        <v>0</v>
      </c>
      <c r="K39" s="9">
        <f t="shared" si="15"/>
        <v>0</v>
      </c>
      <c r="L39" s="9">
        <f t="shared" si="15"/>
        <v>0</v>
      </c>
      <c r="M39" s="9">
        <f t="shared" si="15"/>
        <v>0</v>
      </c>
      <c r="N39" s="9">
        <f t="shared" si="15"/>
        <v>0</v>
      </c>
      <c r="O39" s="9">
        <f t="shared" si="15"/>
        <v>0</v>
      </c>
      <c r="P39" s="9">
        <f t="shared" si="15"/>
        <v>0</v>
      </c>
      <c r="Q39" s="9">
        <f t="shared" si="15"/>
        <v>0</v>
      </c>
      <c r="R39" s="9">
        <f t="shared" si="15"/>
        <v>0</v>
      </c>
      <c r="S39" s="9">
        <f t="shared" si="15"/>
        <v>0</v>
      </c>
      <c r="T39" s="9">
        <f t="shared" si="15"/>
        <v>0</v>
      </c>
      <c r="U39" s="9">
        <f t="shared" si="15"/>
        <v>0</v>
      </c>
      <c r="V39" s="9">
        <f t="shared" si="15"/>
        <v>0</v>
      </c>
      <c r="W39" s="9">
        <f t="shared" si="15"/>
        <v>0</v>
      </c>
      <c r="X39" s="9">
        <f t="shared" si="15"/>
        <v>0</v>
      </c>
      <c r="Y39" s="9">
        <f t="shared" si="15"/>
        <v>0</v>
      </c>
      <c r="Z39" s="9">
        <f t="shared" si="15"/>
        <v>0</v>
      </c>
      <c r="AA39" s="9">
        <f t="shared" si="15"/>
        <v>0</v>
      </c>
      <c r="AB39" s="9">
        <f t="shared" si="15"/>
        <v>0</v>
      </c>
      <c r="AC39" s="9">
        <f t="shared" si="15"/>
        <v>0</v>
      </c>
      <c r="AD39" s="9">
        <f t="shared" si="15"/>
        <v>0</v>
      </c>
      <c r="AE39" s="9">
        <f t="shared" si="15"/>
        <v>0</v>
      </c>
      <c r="AF39" s="9">
        <f t="shared" si="15"/>
        <v>0</v>
      </c>
      <c r="AG39" s="9">
        <f t="shared" si="15"/>
        <v>0</v>
      </c>
      <c r="AH39" s="9">
        <f t="shared" si="15"/>
        <v>0</v>
      </c>
      <c r="AI39" s="9">
        <f t="shared" si="15"/>
        <v>0</v>
      </c>
      <c r="AJ39" s="9">
        <f t="shared" si="15"/>
        <v>0</v>
      </c>
      <c r="AK39" s="9">
        <f t="shared" si="15"/>
        <v>0</v>
      </c>
      <c r="AL39" s="9">
        <f t="shared" si="15"/>
        <v>0</v>
      </c>
    </row>
    <row r="40" spans="1:38" s="16" customFormat="1" x14ac:dyDescent="0.2">
      <c r="A40" s="15" t="s">
        <v>67</v>
      </c>
      <c r="B40" s="15" t="s">
        <v>50</v>
      </c>
      <c r="D40" s="19">
        <f t="shared" si="9"/>
        <v>2415275.4076937297</v>
      </c>
      <c r="E40" s="18">
        <f t="shared" ref="E40:AL40" si="16">SUMIFS(E$34:E$39,$C$34:$C$39,TRUE)*$B$11</f>
        <v>0</v>
      </c>
      <c r="F40" s="18">
        <f t="shared" si="16"/>
        <v>0</v>
      </c>
      <c r="G40" s="18">
        <f t="shared" si="16"/>
        <v>0</v>
      </c>
      <c r="H40" s="18">
        <f t="shared" si="16"/>
        <v>2716856.3562000003</v>
      </c>
      <c r="I40" s="18">
        <f t="shared" si="16"/>
        <v>0</v>
      </c>
      <c r="J40" s="18">
        <f t="shared" si="16"/>
        <v>0</v>
      </c>
      <c r="K40" s="18">
        <f t="shared" si="16"/>
        <v>0</v>
      </c>
      <c r="L40" s="18">
        <f t="shared" si="16"/>
        <v>0</v>
      </c>
      <c r="M40" s="18">
        <f t="shared" si="16"/>
        <v>0</v>
      </c>
      <c r="N40" s="18">
        <f t="shared" si="16"/>
        <v>0</v>
      </c>
      <c r="O40" s="18">
        <f t="shared" si="16"/>
        <v>0</v>
      </c>
      <c r="P40" s="18">
        <f t="shared" si="16"/>
        <v>0</v>
      </c>
      <c r="Q40" s="18">
        <f t="shared" si="16"/>
        <v>0</v>
      </c>
      <c r="R40" s="18">
        <f t="shared" si="16"/>
        <v>0</v>
      </c>
      <c r="S40" s="18">
        <f t="shared" si="16"/>
        <v>0</v>
      </c>
      <c r="T40" s="18">
        <f t="shared" si="16"/>
        <v>0</v>
      </c>
      <c r="U40" s="18">
        <f t="shared" si="16"/>
        <v>0</v>
      </c>
      <c r="V40" s="18">
        <f t="shared" si="16"/>
        <v>0</v>
      </c>
      <c r="W40" s="18">
        <f t="shared" si="16"/>
        <v>0</v>
      </c>
      <c r="X40" s="18">
        <f t="shared" si="16"/>
        <v>0</v>
      </c>
      <c r="Y40" s="18">
        <f t="shared" si="16"/>
        <v>0</v>
      </c>
      <c r="Z40" s="18">
        <f t="shared" si="16"/>
        <v>0</v>
      </c>
      <c r="AA40" s="18">
        <f t="shared" si="16"/>
        <v>0</v>
      </c>
      <c r="AB40" s="18">
        <f t="shared" si="16"/>
        <v>0</v>
      </c>
      <c r="AC40" s="18">
        <f t="shared" si="16"/>
        <v>0</v>
      </c>
      <c r="AD40" s="18">
        <f t="shared" si="16"/>
        <v>0</v>
      </c>
      <c r="AE40" s="18">
        <f t="shared" si="16"/>
        <v>0</v>
      </c>
      <c r="AF40" s="18">
        <f t="shared" si="16"/>
        <v>0</v>
      </c>
      <c r="AG40" s="18">
        <f t="shared" si="16"/>
        <v>0</v>
      </c>
      <c r="AH40" s="18">
        <f t="shared" si="16"/>
        <v>0</v>
      </c>
      <c r="AI40" s="18">
        <f t="shared" si="16"/>
        <v>0</v>
      </c>
      <c r="AJ40" s="18">
        <f t="shared" si="16"/>
        <v>0</v>
      </c>
      <c r="AK40" s="18">
        <f t="shared" si="16"/>
        <v>0</v>
      </c>
      <c r="AL40" s="18">
        <f t="shared" si="16"/>
        <v>0</v>
      </c>
    </row>
    <row r="41" spans="1:38" s="16" customFormat="1" x14ac:dyDescent="0.2">
      <c r="A41" s="21"/>
      <c r="B41" s="15"/>
      <c r="D41" s="19"/>
      <c r="E41"/>
      <c r="F41" s="22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</row>
    <row r="42" spans="1:38" x14ac:dyDescent="0.2">
      <c r="A42" s="8" t="s">
        <v>68</v>
      </c>
    </row>
    <row r="43" spans="1:38" s="16" customFormat="1" x14ac:dyDescent="0.2">
      <c r="A43" s="15" t="s">
        <v>69</v>
      </c>
      <c r="B43" s="16" t="b">
        <v>0</v>
      </c>
      <c r="C43" s="16" t="b">
        <v>0</v>
      </c>
      <c r="E43" s="18">
        <f>E34*0.5*$K$7*IF(E18=0,0,1)</f>
        <v>415990.30499999999</v>
      </c>
      <c r="F43" s="18">
        <f>(SUM($E$34:E34)+F34*0.5)*$K$7*IF(F18=0,0,1)</f>
        <v>1247970.915</v>
      </c>
      <c r="G43" s="18">
        <f>(SUM($E$34:F34)+G34*0.5)*$K$7*IF(G18=0,0,1)</f>
        <v>2079951.5249999999</v>
      </c>
      <c r="H43" s="18">
        <f>(SUM($E$34:G34)+H34*0.5)*$K$7*IF(H18=0,0,1)</f>
        <v>2911932.1349999998</v>
      </c>
      <c r="I43" s="18">
        <f>(SUM($E$34:H34)+I34*0.5)*$K$7*IF(I18=0,0,1)</f>
        <v>0</v>
      </c>
      <c r="J43" s="18">
        <f>(SUM($E$34:I34)+J34*0.5)*$K$7*IF(J18=0,0,1)</f>
        <v>0</v>
      </c>
      <c r="K43" s="18">
        <f>(SUM($E$34:J34)+K34*0.5)*$K$7*IF(K18=0,0,1)</f>
        <v>0</v>
      </c>
      <c r="L43" s="18">
        <f>(SUM($E$34:K34)+L34*0.5)*$K$7*IF(L18=0,0,1)</f>
        <v>0</v>
      </c>
      <c r="M43" s="18">
        <f>(SUM($E$34:L34)+M34*0.5)*$K$7*IF(M18=0,0,1)</f>
        <v>0</v>
      </c>
      <c r="N43" s="18">
        <f>(SUM($E$34:M34)+N34*0.5)*$K$7*IF(N18=0,0,1)</f>
        <v>0</v>
      </c>
      <c r="O43" s="18">
        <f>(SUM($E$34:N34)+O34*0.5)*$K$7*IF(O18=0,0,1)</f>
        <v>0</v>
      </c>
      <c r="P43" s="18">
        <f>(SUM($E$34:O34)+P34*0.5)*$K$7*IF(P18=0,0,1)</f>
        <v>0</v>
      </c>
      <c r="Q43" s="18">
        <f>(SUM($E$34:P34)+Q34*0.5)*$K$7*IF(Q18=0,0,1)</f>
        <v>0</v>
      </c>
      <c r="R43" s="18">
        <f>(SUM($E$34:Q34)+R34*0.5)*$K$7*IF(R18=0,0,1)</f>
        <v>0</v>
      </c>
      <c r="S43" s="18">
        <f>(SUM($E$34:R34)+S34*0.5)*$K$7*IF(S18=0,0,1)</f>
        <v>0</v>
      </c>
      <c r="T43" s="18">
        <f>(SUM($E$34:S34)+T34*0.5)*$K$7*IF(T18=0,0,1)</f>
        <v>0</v>
      </c>
      <c r="U43" s="18">
        <f>(SUM($E$34:T34)+U34*0.5)*$K$7*IF(U18=0,0,1)</f>
        <v>0</v>
      </c>
      <c r="V43" s="18">
        <f>(SUM($E$34:U34)+V34*0.5)*$K$7*IF(V18=0,0,1)</f>
        <v>0</v>
      </c>
      <c r="W43" s="18">
        <f>(SUM($E$34:V34)+W34*0.5)*$K$7*IF(W18=0,0,1)</f>
        <v>0</v>
      </c>
      <c r="X43" s="18">
        <f>(SUM($E$34:W34)+X34*0.5)*$K$7*IF(X18=0,0,1)</f>
        <v>0</v>
      </c>
      <c r="Y43" s="18">
        <f>(SUM($E$34:X34)+Y34*0.5)*$K$7*IF(Y18=0,0,1)</f>
        <v>0</v>
      </c>
      <c r="Z43" s="18">
        <f>(SUM($E$34:Y34)+Z34*0.5)*$K$7*IF(Z18=0,0,1)</f>
        <v>0</v>
      </c>
      <c r="AA43" s="18">
        <f>(SUM($E$34:Z34)+AA34*0.5)*$K$7*IF(AA18=0,0,1)</f>
        <v>0</v>
      </c>
      <c r="AB43" s="18">
        <f>(SUM($E$34:AA34)+AB34*0.5)*$K$7*IF(AB18=0,0,1)</f>
        <v>0</v>
      </c>
      <c r="AC43" s="18">
        <f>(SUM($E$34:AB34)+AC34*0.5)*$K$7*IF(AC18=0,0,1)</f>
        <v>0</v>
      </c>
      <c r="AD43" s="18">
        <f>(SUM($E$34:AC34)+AD34*0.5)*$K$7*IF(AD18=0,0,1)</f>
        <v>0</v>
      </c>
      <c r="AE43" s="18">
        <f>(SUM($E$34:AD34)+AE34*0.5)*$K$7*IF(AE18=0,0,1)</f>
        <v>0</v>
      </c>
      <c r="AF43" s="18">
        <f>(SUM($E$34:AE34)+AF34*0.5)*$K$7*IF(AF18=0,0,1)</f>
        <v>0</v>
      </c>
      <c r="AG43" s="18">
        <f>(SUM($E$34:AF34)+AG34*0.5)*$K$7*IF(AG18=0,0,1)</f>
        <v>0</v>
      </c>
      <c r="AH43" s="18">
        <f>(SUM($E$34:AG34)+AH34*0.5)*$K$7*IF(AH18=0,0,1)</f>
        <v>0</v>
      </c>
      <c r="AI43" s="18">
        <f>(SUM($E$34:AH34)+AI34*0.5)*$K$7*IF(AI18=0,0,1)</f>
        <v>0</v>
      </c>
      <c r="AJ43" s="18">
        <f>(SUM($E$34:AI34)+AJ34*0.5)*$K$7*IF(AJ18=0,0,1)</f>
        <v>0</v>
      </c>
      <c r="AK43" s="18">
        <f>(SUM($E$34:AJ34)+AK34*0.5)*$K$7*IF(AK18=0,0,1)</f>
        <v>0</v>
      </c>
      <c r="AL43" s="18">
        <f>(SUM($E$34:AK34)+AL34*0.5)*$K$7*IF(AL18=0,0,1)</f>
        <v>0</v>
      </c>
    </row>
    <row r="44" spans="1:38" x14ac:dyDescent="0.2">
      <c r="A44" t="s">
        <v>70</v>
      </c>
      <c r="B44" t="s">
        <v>50</v>
      </c>
      <c r="C44" t="b">
        <v>0</v>
      </c>
      <c r="D44" s="10">
        <f>E44+NPV($K$5,F44:AK44)</f>
        <v>-55225537.380518876</v>
      </c>
      <c r="E44" s="9">
        <f t="shared" ref="E44:AL44" si="17">-IF(E19=ROUNDUP($B$14,0),SUM($E$34:$AL$34,$E$43:$AL$43),0)</f>
        <v>0</v>
      </c>
      <c r="F44" s="9">
        <f t="shared" si="17"/>
        <v>0</v>
      </c>
      <c r="G44" s="9">
        <f t="shared" si="17"/>
        <v>0</v>
      </c>
      <c r="H44" s="9">
        <f t="shared" si="17"/>
        <v>-62121218.879999995</v>
      </c>
      <c r="I44" s="9">
        <f t="shared" si="17"/>
        <v>0</v>
      </c>
      <c r="J44" s="9">
        <f t="shared" si="17"/>
        <v>0</v>
      </c>
      <c r="K44" s="9">
        <f t="shared" si="17"/>
        <v>0</v>
      </c>
      <c r="L44" s="9">
        <f t="shared" si="17"/>
        <v>0</v>
      </c>
      <c r="M44" s="9">
        <f t="shared" si="17"/>
        <v>0</v>
      </c>
      <c r="N44" s="9">
        <f t="shared" si="17"/>
        <v>0</v>
      </c>
      <c r="O44" s="9">
        <f t="shared" si="17"/>
        <v>0</v>
      </c>
      <c r="P44" s="9">
        <f t="shared" si="17"/>
        <v>0</v>
      </c>
      <c r="Q44" s="9">
        <f t="shared" si="17"/>
        <v>0</v>
      </c>
      <c r="R44" s="9">
        <f t="shared" si="17"/>
        <v>0</v>
      </c>
      <c r="S44" s="9">
        <f t="shared" si="17"/>
        <v>0</v>
      </c>
      <c r="T44" s="9">
        <f t="shared" si="17"/>
        <v>0</v>
      </c>
      <c r="U44" s="9">
        <f t="shared" si="17"/>
        <v>0</v>
      </c>
      <c r="V44" s="9">
        <f t="shared" si="17"/>
        <v>0</v>
      </c>
      <c r="W44" s="9">
        <f t="shared" si="17"/>
        <v>0</v>
      </c>
      <c r="X44" s="9">
        <f t="shared" si="17"/>
        <v>0</v>
      </c>
      <c r="Y44" s="9">
        <f t="shared" si="17"/>
        <v>0</v>
      </c>
      <c r="Z44" s="9">
        <f t="shared" si="17"/>
        <v>0</v>
      </c>
      <c r="AA44" s="9">
        <f t="shared" si="17"/>
        <v>0</v>
      </c>
      <c r="AB44" s="9">
        <f t="shared" si="17"/>
        <v>0</v>
      </c>
      <c r="AC44" s="9">
        <f t="shared" si="17"/>
        <v>0</v>
      </c>
      <c r="AD44" s="9">
        <f t="shared" si="17"/>
        <v>0</v>
      </c>
      <c r="AE44" s="9">
        <f t="shared" si="17"/>
        <v>0</v>
      </c>
      <c r="AF44" s="9">
        <f t="shared" si="17"/>
        <v>0</v>
      </c>
      <c r="AG44" s="9">
        <f t="shared" si="17"/>
        <v>0</v>
      </c>
      <c r="AH44" s="9">
        <f t="shared" si="17"/>
        <v>0</v>
      </c>
      <c r="AI44" s="9">
        <f t="shared" si="17"/>
        <v>0</v>
      </c>
      <c r="AJ44" s="9">
        <f t="shared" si="17"/>
        <v>0</v>
      </c>
      <c r="AK44" s="9">
        <f t="shared" si="17"/>
        <v>0</v>
      </c>
      <c r="AL44" s="9">
        <f t="shared" si="17"/>
        <v>0</v>
      </c>
    </row>
    <row r="45" spans="1:38" x14ac:dyDescent="0.2">
      <c r="A45" t="s">
        <v>71</v>
      </c>
      <c r="B45" t="s">
        <v>52</v>
      </c>
      <c r="C45" t="b">
        <v>0</v>
      </c>
      <c r="D45" s="10">
        <f>E45+NPV($K$5,F45:AK45)</f>
        <v>-9071114.4984346833</v>
      </c>
      <c r="E45" s="9">
        <f>IF(E$19&gt;ROUNDUP($B$14,0),IF(E46&lt;&gt;-0.01,PPMT($K$5,E$19-ROUNDUP($B$14,0),$K$6,$N$10),0.01),0)</f>
        <v>0</v>
      </c>
      <c r="F45" s="9">
        <f t="shared" ref="F45:AL45" si="18">IF(F$19&gt;ROUNDUP($B$14,0),IF(F46&lt;&gt;-0.01,PPMT($K$5,F$19-ROUNDUP($B$14,0),$K$6,$N$10),0.01),0)</f>
        <v>0</v>
      </c>
      <c r="G45" s="9">
        <f t="shared" si="18"/>
        <v>0</v>
      </c>
      <c r="H45" s="9">
        <f t="shared" si="18"/>
        <v>0</v>
      </c>
      <c r="I45" s="9">
        <f t="shared" si="18"/>
        <v>-424476.83835579734</v>
      </c>
      <c r="J45" s="9">
        <f t="shared" si="18"/>
        <v>-441455.91189002915</v>
      </c>
      <c r="K45" s="9">
        <f t="shared" si="18"/>
        <v>-459114.14836563042</v>
      </c>
      <c r="L45" s="9">
        <f t="shared" si="18"/>
        <v>-477478.71430025558</v>
      </c>
      <c r="M45" s="9">
        <f t="shared" si="18"/>
        <v>-496577.8628722658</v>
      </c>
      <c r="N45" s="9">
        <f t="shared" si="18"/>
        <v>-516440.97738715651</v>
      </c>
      <c r="O45" s="9">
        <f t="shared" si="18"/>
        <v>-537098.61648264271</v>
      </c>
      <c r="P45" s="9">
        <f t="shared" si="18"/>
        <v>-558582.56114194845</v>
      </c>
      <c r="Q45" s="9">
        <f t="shared" si="18"/>
        <v>-580925.86358762626</v>
      </c>
      <c r="R45" s="9">
        <f t="shared" si="18"/>
        <v>-604162.89813113143</v>
      </c>
      <c r="S45" s="9">
        <f t="shared" si="18"/>
        <v>-628329.41405637679</v>
      </c>
      <c r="T45" s="9">
        <f t="shared" si="18"/>
        <v>-653462.59061863169</v>
      </c>
      <c r="U45" s="9">
        <f t="shared" si="18"/>
        <v>-679601.09424337687</v>
      </c>
      <c r="V45" s="9">
        <f t="shared" si="18"/>
        <v>-706785.13801311213</v>
      </c>
      <c r="W45" s="9">
        <f t="shared" si="18"/>
        <v>-735056.54353363649</v>
      </c>
      <c r="X45" s="9">
        <f t="shared" si="18"/>
        <v>-764458.80527498201</v>
      </c>
      <c r="Y45" s="9">
        <f t="shared" si="18"/>
        <v>-795037.15748598136</v>
      </c>
      <c r="Z45" s="9">
        <f t="shared" si="18"/>
        <v>-826838.64378542057</v>
      </c>
      <c r="AA45" s="9">
        <f t="shared" si="18"/>
        <v>-859912.1895368374</v>
      </c>
      <c r="AB45" s="9">
        <f t="shared" si="18"/>
        <v>-894308.67711831082</v>
      </c>
      <c r="AC45" s="9">
        <f t="shared" si="18"/>
        <v>-930081.02420304331</v>
      </c>
      <c r="AD45" s="9">
        <f t="shared" si="18"/>
        <v>-967284.265171165</v>
      </c>
      <c r="AE45" s="9">
        <f t="shared" si="18"/>
        <v>-1005975.6357780115</v>
      </c>
      <c r="AF45" s="9">
        <f t="shared" si="18"/>
        <v>-1046214.6612091321</v>
      </c>
      <c r="AG45" s="9">
        <f t="shared" si="18"/>
        <v>-1088063.2476574974</v>
      </c>
      <c r="AH45" s="9">
        <f t="shared" si="18"/>
        <v>0.01</v>
      </c>
      <c r="AI45" s="9">
        <f t="shared" si="18"/>
        <v>0.01</v>
      </c>
      <c r="AJ45" s="9">
        <f t="shared" si="18"/>
        <v>0.01</v>
      </c>
      <c r="AK45" s="9">
        <f t="shared" si="18"/>
        <v>0.01</v>
      </c>
      <c r="AL45" s="9">
        <f t="shared" si="18"/>
        <v>0.01</v>
      </c>
    </row>
    <row r="46" spans="1:38" x14ac:dyDescent="0.2">
      <c r="A46" t="s">
        <v>72</v>
      </c>
      <c r="B46" t="s">
        <v>52</v>
      </c>
      <c r="C46" t="b">
        <v>0</v>
      </c>
      <c r="D46" s="10">
        <f>E46+NPV($K$5,F46:AK46)</f>
        <v>-6644317.3050544346</v>
      </c>
      <c r="E46" s="9">
        <f>IF(E$19&gt;ROUNDUP($B$14,0),IFERROR(IPMT($K$5,E$19-ROUNDUP($B$14,0),$K$6,$N$10),-0.01),0)</f>
        <v>0</v>
      </c>
      <c r="F46" s="9">
        <f t="shared" ref="F46:AL46" si="19">IF(F$19&gt;ROUNDUP($B$14,0),IFERROR(IPMT($K$5,F$19-ROUNDUP($B$14,0),$K$6,$N$10),-0.01),0)</f>
        <v>0</v>
      </c>
      <c r="G46" s="9">
        <f t="shared" si="19"/>
        <v>0</v>
      </c>
      <c r="H46" s="9">
        <f t="shared" si="19"/>
        <v>0</v>
      </c>
      <c r="I46" s="9">
        <f t="shared" si="19"/>
        <v>-707108.93920799997</v>
      </c>
      <c r="J46" s="9">
        <f t="shared" si="19"/>
        <v>-690129.86567376798</v>
      </c>
      <c r="K46" s="9">
        <f t="shared" si="19"/>
        <v>-672471.62919816689</v>
      </c>
      <c r="L46" s="9">
        <f t="shared" si="19"/>
        <v>-654107.06326354167</v>
      </c>
      <c r="M46" s="9">
        <f t="shared" si="19"/>
        <v>-635007.91469153145</v>
      </c>
      <c r="N46" s="9">
        <f t="shared" si="19"/>
        <v>-615144.80017664074</v>
      </c>
      <c r="O46" s="9">
        <f t="shared" si="19"/>
        <v>-594487.16108115448</v>
      </c>
      <c r="P46" s="9">
        <f t="shared" si="19"/>
        <v>-573003.21642184886</v>
      </c>
      <c r="Q46" s="9">
        <f t="shared" si="19"/>
        <v>-550659.91397617082</v>
      </c>
      <c r="R46" s="9">
        <f t="shared" si="19"/>
        <v>-527422.87943266588</v>
      </c>
      <c r="S46" s="9">
        <f t="shared" si="19"/>
        <v>-503256.36350742064</v>
      </c>
      <c r="T46" s="9">
        <f t="shared" si="19"/>
        <v>-478123.18694516557</v>
      </c>
      <c r="U46" s="9">
        <f t="shared" si="19"/>
        <v>-451984.68332042033</v>
      </c>
      <c r="V46" s="9">
        <f t="shared" si="19"/>
        <v>-424800.63955068524</v>
      </c>
      <c r="W46" s="9">
        <f t="shared" si="19"/>
        <v>-396529.2340301607</v>
      </c>
      <c r="X46" s="9">
        <f t="shared" si="19"/>
        <v>-367126.97228881525</v>
      </c>
      <c r="Y46" s="9">
        <f t="shared" si="19"/>
        <v>-336548.62007781595</v>
      </c>
      <c r="Z46" s="9">
        <f t="shared" si="19"/>
        <v>-304747.13377837668</v>
      </c>
      <c r="AA46" s="9">
        <f t="shared" si="19"/>
        <v>-271673.58802695991</v>
      </c>
      <c r="AB46" s="9">
        <f t="shared" si="19"/>
        <v>-237277.10044548637</v>
      </c>
      <c r="AC46" s="9">
        <f t="shared" si="19"/>
        <v>-201504.75336075397</v>
      </c>
      <c r="AD46" s="9">
        <f t="shared" si="19"/>
        <v>-164301.51239263223</v>
      </c>
      <c r="AE46" s="9">
        <f t="shared" si="19"/>
        <v>-125610.14178578566</v>
      </c>
      <c r="AF46" s="9">
        <f t="shared" si="19"/>
        <v>-85371.116354665181</v>
      </c>
      <c r="AG46" s="9">
        <f t="shared" si="19"/>
        <v>-43522.529906299897</v>
      </c>
      <c r="AH46" s="9">
        <f t="shared" si="19"/>
        <v>-0.01</v>
      </c>
      <c r="AI46" s="9">
        <f t="shared" si="19"/>
        <v>-0.01</v>
      </c>
      <c r="AJ46" s="9">
        <f t="shared" si="19"/>
        <v>-0.01</v>
      </c>
      <c r="AK46" s="9">
        <f t="shared" si="19"/>
        <v>-0.01</v>
      </c>
      <c r="AL46" s="9">
        <f t="shared" si="19"/>
        <v>-0.01</v>
      </c>
    </row>
    <row r="47" spans="1:38" x14ac:dyDescent="0.2">
      <c r="A47" t="s">
        <v>73</v>
      </c>
      <c r="B47" t="s">
        <v>52</v>
      </c>
      <c r="C47" t="b">
        <v>0</v>
      </c>
      <c r="D47" s="10">
        <f>E47+NPV($K$5,F47:AK47)</f>
        <v>-8192954.7441097694</v>
      </c>
      <c r="E47" s="9">
        <f>IF(E$19&gt;ROUNDUP($B$14,0),IF(E48&lt;&gt;-0.01,PPMT($H$5,E$19-ROUNDUP($B$14,0),$H$6,IF($B$9="BOB",$H$12,$H$11)*(1-$H$7)),0.01),0)</f>
        <v>0</v>
      </c>
      <c r="F47" s="9">
        <f t="shared" ref="F47:AL47" si="20">IF(F$19&gt;ROUNDUP($B$14,0),IF(F48&lt;&gt;-0.01,PPMT($H$5,F$19-ROUNDUP($B$14,0),$H$6,IF($B$9="BOB",$H$12,$H$11)*(1-$H$7)),0.01),0)</f>
        <v>0</v>
      </c>
      <c r="G47" s="9">
        <f t="shared" si="20"/>
        <v>0</v>
      </c>
      <c r="H47" s="9">
        <f t="shared" si="20"/>
        <v>0</v>
      </c>
      <c r="I47" s="9">
        <f t="shared" si="20"/>
        <v>-483278.96664759383</v>
      </c>
      <c r="J47" s="9">
        <f t="shared" si="20"/>
        <v>-488111.75631406979</v>
      </c>
      <c r="K47" s="9">
        <f t="shared" si="20"/>
        <v>-492992.87387721048</v>
      </c>
      <c r="L47" s="9">
        <f t="shared" si="20"/>
        <v>-497922.8026159826</v>
      </c>
      <c r="M47" s="9">
        <f t="shared" si="20"/>
        <v>-502902.0306421424</v>
      </c>
      <c r="N47" s="9">
        <f t="shared" si="20"/>
        <v>-507931.05094856373</v>
      </c>
      <c r="O47" s="9">
        <f t="shared" si="20"/>
        <v>-513010.36145804945</v>
      </c>
      <c r="P47" s="9">
        <f t="shared" si="20"/>
        <v>-518140.46507262992</v>
      </c>
      <c r="Q47" s="9">
        <f t="shared" si="20"/>
        <v>-523321.86972335621</v>
      </c>
      <c r="R47" s="9">
        <f t="shared" si="20"/>
        <v>-528555.0884205898</v>
      </c>
      <c r="S47" s="9">
        <f t="shared" si="20"/>
        <v>-533840.63930479577</v>
      </c>
      <c r="T47" s="9">
        <f t="shared" si="20"/>
        <v>-539179.04569784366</v>
      </c>
      <c r="U47" s="9">
        <f t="shared" si="20"/>
        <v>-544570.83615482203</v>
      </c>
      <c r="V47" s="9">
        <f t="shared" si="20"/>
        <v>-550016.54451637028</v>
      </c>
      <c r="W47" s="9">
        <f t="shared" si="20"/>
        <v>-555516.70996153401</v>
      </c>
      <c r="X47" s="9">
        <f t="shared" si="20"/>
        <v>-561071.87706114945</v>
      </c>
      <c r="Y47" s="9">
        <f t="shared" si="20"/>
        <v>-566682.5958317609</v>
      </c>
      <c r="Z47" s="9">
        <f t="shared" si="20"/>
        <v>-572349.4217900784</v>
      </c>
      <c r="AA47" s="9">
        <f t="shared" si="20"/>
        <v>-578072.91600797919</v>
      </c>
      <c r="AB47" s="9">
        <f t="shared" si="20"/>
        <v>-583853.64516805904</v>
      </c>
      <c r="AC47" s="9">
        <f t="shared" si="20"/>
        <v>-589692.18161973963</v>
      </c>
      <c r="AD47" s="9">
        <f t="shared" si="20"/>
        <v>-595589.10343593708</v>
      </c>
      <c r="AE47" s="9">
        <f t="shared" si="20"/>
        <v>-601544.99447029631</v>
      </c>
      <c r="AF47" s="9">
        <f t="shared" si="20"/>
        <v>-607560.44441499934</v>
      </c>
      <c r="AG47" s="9">
        <f t="shared" si="20"/>
        <v>-613636.04885914933</v>
      </c>
      <c r="AH47" s="9">
        <f t="shared" si="20"/>
        <v>-619772.40934774082</v>
      </c>
      <c r="AI47" s="9">
        <f t="shared" si="20"/>
        <v>-625970.13344121829</v>
      </c>
      <c r="AJ47" s="9">
        <f t="shared" si="20"/>
        <v>-632229.8347756305</v>
      </c>
      <c r="AK47" s="9">
        <f t="shared" si="20"/>
        <v>-638552.13312338677</v>
      </c>
      <c r="AL47" s="9">
        <f t="shared" si="20"/>
        <v>-644937.65445462067</v>
      </c>
    </row>
    <row r="48" spans="1:38" x14ac:dyDescent="0.2">
      <c r="A48" t="s">
        <v>74</v>
      </c>
      <c r="B48" t="s">
        <v>52</v>
      </c>
      <c r="C48" t="b">
        <v>0</v>
      </c>
      <c r="D48" s="10">
        <f>E48+NPV($K$5,F48:AK48)</f>
        <v>-2670939.0567234294</v>
      </c>
      <c r="E48" s="9">
        <f>IF(E$19&gt;ROUNDUP($B$14,0),IFERROR(IPMT($H$5,E$19-ROUNDUP($B$14,0),$H$6,IF($B$9="BOB",$H$12,$H$11)*(1-$H$7)),-0.01),0)</f>
        <v>0</v>
      </c>
      <c r="F48" s="9">
        <f t="shared" ref="F48:AL48" si="21">IF(F$19&gt;ROUNDUP($B$14,0),IFERROR(IPMT($H$5,F$19-ROUNDUP($B$14,0),$H$6,IF($B$9="BOB",$H$12,$H$11)*(1-$H$7)),-0.01),0)</f>
        <v>0</v>
      </c>
      <c r="G48" s="9">
        <f t="shared" si="21"/>
        <v>0</v>
      </c>
      <c r="H48" s="9">
        <f t="shared" si="21"/>
        <v>0</v>
      </c>
      <c r="I48" s="9">
        <f t="shared" si="21"/>
        <v>-236257.56</v>
      </c>
      <c r="J48" s="9">
        <f t="shared" si="21"/>
        <v>-231424.77033352412</v>
      </c>
      <c r="K48" s="9">
        <f t="shared" si="21"/>
        <v>-226543.6527703834</v>
      </c>
      <c r="L48" s="9">
        <f t="shared" si="21"/>
        <v>-221613.72403161132</v>
      </c>
      <c r="M48" s="9">
        <f t="shared" si="21"/>
        <v>-216634.49600545145</v>
      </c>
      <c r="N48" s="9">
        <f t="shared" si="21"/>
        <v>-211605.47569903001</v>
      </c>
      <c r="O48" s="9">
        <f t="shared" si="21"/>
        <v>-206526.16518954444</v>
      </c>
      <c r="P48" s="9">
        <f t="shared" si="21"/>
        <v>-201396.06157496394</v>
      </c>
      <c r="Q48" s="9">
        <f t="shared" si="21"/>
        <v>-196214.65692423758</v>
      </c>
      <c r="R48" s="9">
        <f t="shared" si="21"/>
        <v>-190981.43822700405</v>
      </c>
      <c r="S48" s="9">
        <f t="shared" si="21"/>
        <v>-185695.88734279812</v>
      </c>
      <c r="T48" s="9">
        <f t="shared" si="21"/>
        <v>-180357.4809497502</v>
      </c>
      <c r="U48" s="9">
        <f t="shared" si="21"/>
        <v>-174965.69049277177</v>
      </c>
      <c r="V48" s="9">
        <f t="shared" si="21"/>
        <v>-169519.98213122354</v>
      </c>
      <c r="W48" s="9">
        <f t="shared" si="21"/>
        <v>-164019.81668605984</v>
      </c>
      <c r="X48" s="9">
        <f t="shared" si="21"/>
        <v>-158464.64958644449</v>
      </c>
      <c r="Y48" s="9">
        <f t="shared" si="21"/>
        <v>-152853.93081583298</v>
      </c>
      <c r="Z48" s="9">
        <f t="shared" si="21"/>
        <v>-147187.10485751537</v>
      </c>
      <c r="AA48" s="9">
        <f t="shared" si="21"/>
        <v>-141463.61063961461</v>
      </c>
      <c r="AB48" s="9">
        <f t="shared" si="21"/>
        <v>-135682.88147953482</v>
      </c>
      <c r="AC48" s="9">
        <f t="shared" si="21"/>
        <v>-129844.34502785422</v>
      </c>
      <c r="AD48" s="9">
        <f t="shared" si="21"/>
        <v>-123947.42321165682</v>
      </c>
      <c r="AE48" s="9">
        <f t="shared" si="21"/>
        <v>-117991.53217729744</v>
      </c>
      <c r="AF48" s="9">
        <f t="shared" si="21"/>
        <v>-111976.08223259448</v>
      </c>
      <c r="AG48" s="9">
        <f t="shared" si="21"/>
        <v>-105900.47778844448</v>
      </c>
      <c r="AH48" s="9">
        <f t="shared" si="21"/>
        <v>-99764.117299852966</v>
      </c>
      <c r="AI48" s="9">
        <f t="shared" si="21"/>
        <v>-93566.393206375578</v>
      </c>
      <c r="AJ48" s="9">
        <f t="shared" si="21"/>
        <v>-87306.691871963383</v>
      </c>
      <c r="AK48" s="9">
        <f t="shared" si="21"/>
        <v>-80984.393524207087</v>
      </c>
      <c r="AL48" s="9">
        <f t="shared" si="21"/>
        <v>-74598.872192973213</v>
      </c>
    </row>
    <row r="50" spans="1:38" x14ac:dyDescent="0.2">
      <c r="A50" s="8" t="s">
        <v>75</v>
      </c>
    </row>
    <row r="51" spans="1:38" s="16" customFormat="1" x14ac:dyDescent="0.2">
      <c r="A51" s="16" t="s">
        <v>76</v>
      </c>
      <c r="C51" s="16" t="b">
        <v>0</v>
      </c>
      <c r="D51" s="19">
        <f t="shared" ref="D51:D52" si="22">E51+NPV($K$5,F51:AK51)</f>
        <v>7089551.5329511277</v>
      </c>
      <c r="E51" s="18">
        <v>0</v>
      </c>
      <c r="F51" s="18">
        <f>-E24-E40</f>
        <v>2592893.5</v>
      </c>
      <c r="G51" s="18">
        <f>-F24-F40</f>
        <v>2592893.5</v>
      </c>
      <c r="H51" s="18">
        <f t="shared" ref="H51:AL51" si="23">-G24-G40</f>
        <v>2592893.5</v>
      </c>
      <c r="I51" s="18">
        <f t="shared" si="23"/>
        <v>-123962.85620000027</v>
      </c>
      <c r="J51" s="18">
        <f t="shared" si="23"/>
        <v>0</v>
      </c>
      <c r="K51" s="18">
        <f t="shared" si="23"/>
        <v>0</v>
      </c>
      <c r="L51" s="18">
        <f t="shared" si="23"/>
        <v>0</v>
      </c>
      <c r="M51" s="18">
        <f t="shared" si="23"/>
        <v>0</v>
      </c>
      <c r="N51" s="18">
        <f t="shared" si="23"/>
        <v>0</v>
      </c>
      <c r="O51" s="18">
        <f t="shared" si="23"/>
        <v>0</v>
      </c>
      <c r="P51" s="18">
        <f t="shared" si="23"/>
        <v>0</v>
      </c>
      <c r="Q51" s="18">
        <f t="shared" si="23"/>
        <v>0</v>
      </c>
      <c r="R51" s="18">
        <f t="shared" si="23"/>
        <v>0</v>
      </c>
      <c r="S51" s="18">
        <f t="shared" si="23"/>
        <v>0</v>
      </c>
      <c r="T51" s="18">
        <f t="shared" si="23"/>
        <v>0</v>
      </c>
      <c r="U51" s="18">
        <f t="shared" si="23"/>
        <v>0</v>
      </c>
      <c r="V51" s="18">
        <f t="shared" si="23"/>
        <v>0</v>
      </c>
      <c r="W51" s="18">
        <f t="shared" si="23"/>
        <v>0</v>
      </c>
      <c r="X51" s="18">
        <f t="shared" si="23"/>
        <v>0</v>
      </c>
      <c r="Y51" s="18">
        <f t="shared" si="23"/>
        <v>0</v>
      </c>
      <c r="Z51" s="18">
        <f t="shared" si="23"/>
        <v>0</v>
      </c>
      <c r="AA51" s="18">
        <f t="shared" si="23"/>
        <v>0</v>
      </c>
      <c r="AB51" s="18">
        <f t="shared" si="23"/>
        <v>0</v>
      </c>
      <c r="AC51" s="18">
        <f t="shared" si="23"/>
        <v>0</v>
      </c>
      <c r="AD51" s="18">
        <f t="shared" si="23"/>
        <v>0</v>
      </c>
      <c r="AE51" s="18">
        <f t="shared" si="23"/>
        <v>0</v>
      </c>
      <c r="AF51" s="18">
        <f t="shared" si="23"/>
        <v>0</v>
      </c>
      <c r="AG51" s="18">
        <f t="shared" si="23"/>
        <v>0</v>
      </c>
      <c r="AH51" s="18">
        <f t="shared" si="23"/>
        <v>0</v>
      </c>
      <c r="AI51" s="18">
        <f t="shared" si="23"/>
        <v>0</v>
      </c>
      <c r="AJ51" s="18">
        <f t="shared" si="23"/>
        <v>0</v>
      </c>
      <c r="AK51" s="18">
        <f t="shared" si="23"/>
        <v>0</v>
      </c>
      <c r="AL51" s="18">
        <f t="shared" si="23"/>
        <v>0</v>
      </c>
    </row>
    <row r="52" spans="1:38" x14ac:dyDescent="0.2">
      <c r="A52" t="s">
        <v>77</v>
      </c>
      <c r="B52" t="s">
        <v>52</v>
      </c>
      <c r="C52" t="b">
        <v>0</v>
      </c>
      <c r="D52" s="12">
        <f t="shared" si="22"/>
        <v>45192284.676471159</v>
      </c>
      <c r="E52" s="11">
        <f t="shared" ref="E52:AL52" si="24">SUMIFS(E$21:E$40,$B$21:$B$40,$B52)+E51</f>
        <v>0</v>
      </c>
      <c r="F52" s="11">
        <f t="shared" si="24"/>
        <v>2592893.5</v>
      </c>
      <c r="G52" s="11">
        <f t="shared" si="24"/>
        <v>2592893.5</v>
      </c>
      <c r="H52" s="11">
        <f t="shared" si="24"/>
        <v>2592893.5</v>
      </c>
      <c r="I52" s="11">
        <f t="shared" si="24"/>
        <v>2012706.6237999997</v>
      </c>
      <c r="J52" s="11">
        <f t="shared" si="24"/>
        <v>2179402.8695999999</v>
      </c>
      <c r="K52" s="11">
        <f t="shared" si="24"/>
        <v>2222990.9269920001</v>
      </c>
      <c r="L52" s="11">
        <f t="shared" si="24"/>
        <v>2267450.7455318398</v>
      </c>
      <c r="M52" s="11">
        <f t="shared" si="24"/>
        <v>2312799.7604424767</v>
      </c>
      <c r="N52" s="11">
        <f t="shared" si="24"/>
        <v>2359055.7556513264</v>
      </c>
      <c r="O52" s="11">
        <f t="shared" si="24"/>
        <v>2406236.8707643524</v>
      </c>
      <c r="P52" s="11">
        <f t="shared" si="24"/>
        <v>2454361.6081796396</v>
      </c>
      <c r="Q52" s="11">
        <f t="shared" si="24"/>
        <v>2503448.8403432327</v>
      </c>
      <c r="R52" s="11">
        <f t="shared" si="24"/>
        <v>-219750.88284990302</v>
      </c>
      <c r="S52" s="11">
        <f t="shared" si="24"/>
        <v>2604588.1734930989</v>
      </c>
      <c r="T52" s="11">
        <f t="shared" si="24"/>
        <v>2656679.9369629612</v>
      </c>
      <c r="U52" s="11">
        <f t="shared" si="24"/>
        <v>2709813.5357022202</v>
      </c>
      <c r="V52" s="11">
        <f t="shared" si="24"/>
        <v>2764009.8064162647</v>
      </c>
      <c r="W52" s="11">
        <f t="shared" si="24"/>
        <v>2819290.0025445898</v>
      </c>
      <c r="X52" s="11">
        <f t="shared" si="24"/>
        <v>2875675.8025954817</v>
      </c>
      <c r="Y52" s="11">
        <f t="shared" si="24"/>
        <v>2933189.3186473916</v>
      </c>
      <c r="Z52" s="11">
        <f t="shared" si="24"/>
        <v>2991853.1050203391</v>
      </c>
      <c r="AA52" s="11">
        <f t="shared" si="24"/>
        <v>3051690.1671207459</v>
      </c>
      <c r="AB52" s="11">
        <f t="shared" si="24"/>
        <v>339455.27046316094</v>
      </c>
      <c r="AC52" s="11">
        <f t="shared" si="24"/>
        <v>3174978.4498724244</v>
      </c>
      <c r="AD52" s="11">
        <f t="shared" si="24"/>
        <v>3238478.0188698727</v>
      </c>
      <c r="AE52" s="11">
        <f t="shared" si="24"/>
        <v>3303247.5792472693</v>
      </c>
      <c r="AF52" s="11">
        <f t="shared" si="24"/>
        <v>3369312.5308322152</v>
      </c>
      <c r="AG52" s="11">
        <f t="shared" si="24"/>
        <v>3436698.7814488593</v>
      </c>
      <c r="AH52" s="11">
        <f t="shared" si="24"/>
        <v>3505432.7570778369</v>
      </c>
      <c r="AI52" s="11">
        <f t="shared" si="24"/>
        <v>3575541.4122193931</v>
      </c>
      <c r="AJ52" s="11">
        <f t="shared" si="24"/>
        <v>3647052.2404637816</v>
      </c>
      <c r="AK52" s="11">
        <f t="shared" si="24"/>
        <v>3719993.2852730565</v>
      </c>
      <c r="AL52" s="11">
        <f t="shared" si="24"/>
        <v>1021124.450978518</v>
      </c>
    </row>
    <row r="53" spans="1:38" x14ac:dyDescent="0.2">
      <c r="A53" t="s">
        <v>78</v>
      </c>
      <c r="B53" t="s">
        <v>50</v>
      </c>
      <c r="C53" t="b">
        <v>0</v>
      </c>
      <c r="D53" s="10">
        <f>E53+NPV($K$5,F53:AK53)</f>
        <v>52920464.500597395</v>
      </c>
      <c r="E53" s="24">
        <f t="shared" ref="E53:AL53" si="25">IF(E19=ROUNDUP($B$14,0),-MIN(0,E52+E44),0)</f>
        <v>0</v>
      </c>
      <c r="F53" s="24">
        <f t="shared" si="25"/>
        <v>0</v>
      </c>
      <c r="G53" s="24">
        <f t="shared" si="25"/>
        <v>0</v>
      </c>
      <c r="H53" s="24">
        <f t="shared" si="25"/>
        <v>59528325.379999995</v>
      </c>
      <c r="I53" s="24">
        <f t="shared" si="25"/>
        <v>0</v>
      </c>
      <c r="J53" s="24">
        <f t="shared" si="25"/>
        <v>0</v>
      </c>
      <c r="K53" s="24">
        <f t="shared" si="25"/>
        <v>0</v>
      </c>
      <c r="L53" s="24">
        <f t="shared" si="25"/>
        <v>0</v>
      </c>
      <c r="M53" s="24">
        <f t="shared" si="25"/>
        <v>0</v>
      </c>
      <c r="N53" s="24">
        <f t="shared" si="25"/>
        <v>0</v>
      </c>
      <c r="O53" s="24">
        <f t="shared" si="25"/>
        <v>0</v>
      </c>
      <c r="P53" s="24">
        <f t="shared" si="25"/>
        <v>0</v>
      </c>
      <c r="Q53" s="24">
        <f t="shared" si="25"/>
        <v>0</v>
      </c>
      <c r="R53" s="24">
        <f t="shared" si="25"/>
        <v>0</v>
      </c>
      <c r="S53" s="24">
        <f t="shared" si="25"/>
        <v>0</v>
      </c>
      <c r="T53" s="24">
        <f t="shared" si="25"/>
        <v>0</v>
      </c>
      <c r="U53" s="24">
        <f t="shared" si="25"/>
        <v>0</v>
      </c>
      <c r="V53" s="24">
        <f t="shared" si="25"/>
        <v>0</v>
      </c>
      <c r="W53" s="24">
        <f t="shared" si="25"/>
        <v>0</v>
      </c>
      <c r="X53" s="24">
        <f t="shared" si="25"/>
        <v>0</v>
      </c>
      <c r="Y53" s="24">
        <f t="shared" si="25"/>
        <v>0</v>
      </c>
      <c r="Z53" s="24">
        <f t="shared" si="25"/>
        <v>0</v>
      </c>
      <c r="AA53" s="24">
        <f t="shared" si="25"/>
        <v>0</v>
      </c>
      <c r="AB53" s="24">
        <f t="shared" si="25"/>
        <v>0</v>
      </c>
      <c r="AC53" s="24">
        <f t="shared" si="25"/>
        <v>0</v>
      </c>
      <c r="AD53" s="24">
        <f t="shared" si="25"/>
        <v>0</v>
      </c>
      <c r="AE53" s="24">
        <f t="shared" si="25"/>
        <v>0</v>
      </c>
      <c r="AF53" s="24">
        <f t="shared" si="25"/>
        <v>0</v>
      </c>
      <c r="AG53" s="24">
        <f t="shared" si="25"/>
        <v>0</v>
      </c>
      <c r="AH53" s="24">
        <f t="shared" si="25"/>
        <v>0</v>
      </c>
      <c r="AI53" s="24">
        <f t="shared" si="25"/>
        <v>0</v>
      </c>
      <c r="AJ53" s="24">
        <f t="shared" si="25"/>
        <v>0</v>
      </c>
      <c r="AK53" s="24">
        <f t="shared" si="25"/>
        <v>0</v>
      </c>
      <c r="AL53" s="24">
        <f t="shared" si="25"/>
        <v>0</v>
      </c>
    </row>
    <row r="54" spans="1:38" x14ac:dyDescent="0.2">
      <c r="A54" t="s">
        <v>79</v>
      </c>
      <c r="B54" t="s">
        <v>50</v>
      </c>
      <c r="C54" t="b">
        <v>0</v>
      </c>
      <c r="D54" s="10">
        <f>E54+NPV($K$5,F54:AK54)</f>
        <v>-29416999.600022309</v>
      </c>
      <c r="E54" s="9">
        <f t="shared" ref="E54:AL54" si="26">IF(E$19&gt;ROUNDUP($B$14,0),IF(E55&lt;&gt;-0.01,PPMT($K$7,E$19-ROUNDUP($B$14,0),$K$8,SUM($E$53:$AL$53)),0.01),0)</f>
        <v>0</v>
      </c>
      <c r="F54" s="9">
        <f t="shared" si="26"/>
        <v>0</v>
      </c>
      <c r="G54" s="9">
        <f t="shared" si="26"/>
        <v>0</v>
      </c>
      <c r="H54" s="9">
        <f t="shared" si="26"/>
        <v>0</v>
      </c>
      <c r="I54" s="9">
        <f t="shared" si="26"/>
        <v>-1085006.0123498177</v>
      </c>
      <c r="J54" s="9">
        <f t="shared" si="26"/>
        <v>-1150106.3730908066</v>
      </c>
      <c r="K54" s="9">
        <f t="shared" si="26"/>
        <v>-1219112.7554762547</v>
      </c>
      <c r="L54" s="9">
        <f t="shared" si="26"/>
        <v>-1292259.5208048301</v>
      </c>
      <c r="M54" s="9">
        <f t="shared" si="26"/>
        <v>-1369795.09205312</v>
      </c>
      <c r="N54" s="9">
        <f t="shared" si="26"/>
        <v>-1451982.7975763071</v>
      </c>
      <c r="O54" s="9">
        <f t="shared" si="26"/>
        <v>-1539101.7654308856</v>
      </c>
      <c r="P54" s="9">
        <f t="shared" si="26"/>
        <v>-1631447.8713567385</v>
      </c>
      <c r="Q54" s="9">
        <f t="shared" si="26"/>
        <v>-1729334.7436381429</v>
      </c>
      <c r="R54" s="9">
        <f t="shared" si="26"/>
        <v>-1833094.8282564315</v>
      </c>
      <c r="S54" s="9">
        <f t="shared" si="26"/>
        <v>-1943080.5179518177</v>
      </c>
      <c r="T54" s="9">
        <f t="shared" si="26"/>
        <v>-2059665.3490289263</v>
      </c>
      <c r="U54" s="9">
        <f t="shared" si="26"/>
        <v>-2183245.2699706624</v>
      </c>
      <c r="V54" s="9">
        <f t="shared" si="26"/>
        <v>-2314239.9861689019</v>
      </c>
      <c r="W54" s="9">
        <f t="shared" si="26"/>
        <v>-2453094.3853390361</v>
      </c>
      <c r="X54" s="9">
        <f t="shared" si="26"/>
        <v>-2600280.0484593781</v>
      </c>
      <c r="Y54" s="9">
        <f t="shared" si="26"/>
        <v>-2756296.8513669404</v>
      </c>
      <c r="Z54" s="9">
        <f t="shared" si="26"/>
        <v>-2921674.6624489571</v>
      </c>
      <c r="AA54" s="9">
        <f t="shared" si="26"/>
        <v>-3096975.1421958944</v>
      </c>
      <c r="AB54" s="9">
        <f t="shared" si="26"/>
        <v>-3282793.6507276483</v>
      </c>
      <c r="AC54" s="9">
        <f t="shared" si="26"/>
        <v>-3479761.2697713072</v>
      </c>
      <c r="AD54" s="9">
        <f t="shared" si="26"/>
        <v>-3688546.9459575857</v>
      </c>
      <c r="AE54" s="9">
        <f t="shared" si="26"/>
        <v>-3909859.7627150407</v>
      </c>
      <c r="AF54" s="9">
        <f t="shared" si="26"/>
        <v>-4144451.3484779429</v>
      </c>
      <c r="AG54" s="9">
        <f t="shared" si="26"/>
        <v>-4393118.4293866195</v>
      </c>
      <c r="AH54" s="9">
        <f t="shared" si="26"/>
        <v>0.01</v>
      </c>
      <c r="AI54" s="9">
        <f t="shared" si="26"/>
        <v>0.01</v>
      </c>
      <c r="AJ54" s="9">
        <f t="shared" si="26"/>
        <v>0.01</v>
      </c>
      <c r="AK54" s="9">
        <f t="shared" si="26"/>
        <v>0.01</v>
      </c>
      <c r="AL54" s="9">
        <f t="shared" si="26"/>
        <v>0.01</v>
      </c>
    </row>
    <row r="55" spans="1:38" x14ac:dyDescent="0.2">
      <c r="A55" t="s">
        <v>80</v>
      </c>
      <c r="B55" t="s">
        <v>50</v>
      </c>
      <c r="C55" t="b">
        <v>0</v>
      </c>
      <c r="D55" s="10">
        <f>E55+NPV($K$5,F55:AK55)</f>
        <v>-35255197.344810143</v>
      </c>
      <c r="E55" s="9">
        <f t="shared" ref="E55:AL55" si="27">IF(E$19&gt;ROUNDUP($B$14,0),IFERROR(IPMT($K$7,E$19-ROUNDUP($B$14,0),$K$8,SUM($E$53:$AL$53)),-0.01),0)</f>
        <v>0</v>
      </c>
      <c r="F55" s="9">
        <f t="shared" si="27"/>
        <v>0</v>
      </c>
      <c r="G55" s="9">
        <f t="shared" si="27"/>
        <v>0</v>
      </c>
      <c r="H55" s="9">
        <f t="shared" si="27"/>
        <v>0</v>
      </c>
      <c r="I55" s="9">
        <f t="shared" si="27"/>
        <v>-3571699.522799999</v>
      </c>
      <c r="J55" s="9">
        <f t="shared" si="27"/>
        <v>-3506599.16205901</v>
      </c>
      <c r="K55" s="9">
        <f t="shared" si="27"/>
        <v>-3437592.7796735619</v>
      </c>
      <c r="L55" s="9">
        <f t="shared" si="27"/>
        <v>-3364446.0143449865</v>
      </c>
      <c r="M55" s="9">
        <f t="shared" si="27"/>
        <v>-3286910.4430966969</v>
      </c>
      <c r="N55" s="9">
        <f t="shared" si="27"/>
        <v>-3204722.7375735096</v>
      </c>
      <c r="O55" s="9">
        <f t="shared" si="27"/>
        <v>-3117603.7697189311</v>
      </c>
      <c r="P55" s="9">
        <f t="shared" si="27"/>
        <v>-3025257.6637930782</v>
      </c>
      <c r="Q55" s="9">
        <f t="shared" si="27"/>
        <v>-2927370.7915116744</v>
      </c>
      <c r="R55" s="9">
        <f t="shared" si="27"/>
        <v>-2823610.7068933849</v>
      </c>
      <c r="S55" s="9">
        <f t="shared" si="27"/>
        <v>-2713625.0171979992</v>
      </c>
      <c r="T55" s="9">
        <f t="shared" si="27"/>
        <v>-2597040.1861208896</v>
      </c>
      <c r="U55" s="9">
        <f t="shared" si="27"/>
        <v>-2473460.2651791545</v>
      </c>
      <c r="V55" s="9">
        <f t="shared" si="27"/>
        <v>-2342465.5489809145</v>
      </c>
      <c r="W55" s="9">
        <f t="shared" si="27"/>
        <v>-2203611.1498107808</v>
      </c>
      <c r="X55" s="9">
        <f t="shared" si="27"/>
        <v>-2056425.4866904386</v>
      </c>
      <c r="Y55" s="9">
        <f t="shared" si="27"/>
        <v>-1900408.683782876</v>
      </c>
      <c r="Z55" s="9">
        <f t="shared" si="27"/>
        <v>-1735030.8727008593</v>
      </c>
      <c r="AA55" s="9">
        <f t="shared" si="27"/>
        <v>-1559730.392953922</v>
      </c>
      <c r="AB55" s="9">
        <f t="shared" si="27"/>
        <v>-1373911.8844221681</v>
      </c>
      <c r="AC55" s="9">
        <f t="shared" si="27"/>
        <v>-1176944.2653785096</v>
      </c>
      <c r="AD55" s="9">
        <f t="shared" si="27"/>
        <v>-968158.5891922313</v>
      </c>
      <c r="AE55" s="9">
        <f t="shared" si="27"/>
        <v>-746845.77243477595</v>
      </c>
      <c r="AF55" s="9">
        <f t="shared" si="27"/>
        <v>-512254.18667187373</v>
      </c>
      <c r="AG55" s="9">
        <f t="shared" si="27"/>
        <v>-263587.10576319718</v>
      </c>
      <c r="AH55" s="9">
        <f t="shared" si="27"/>
        <v>-0.01</v>
      </c>
      <c r="AI55" s="9">
        <f t="shared" si="27"/>
        <v>-0.01</v>
      </c>
      <c r="AJ55" s="9">
        <f t="shared" si="27"/>
        <v>-0.01</v>
      </c>
      <c r="AK55" s="9">
        <f t="shared" si="27"/>
        <v>-0.01</v>
      </c>
      <c r="AL55" s="9">
        <f t="shared" si="27"/>
        <v>-0.01</v>
      </c>
    </row>
    <row r="57" spans="1:38" x14ac:dyDescent="0.2">
      <c r="A57" s="8" t="s">
        <v>81</v>
      </c>
    </row>
    <row r="58" spans="1:38" s="25" customFormat="1" x14ac:dyDescent="0.2">
      <c r="A58" s="25" t="s">
        <v>82</v>
      </c>
      <c r="B58" s="25" t="s">
        <v>50</v>
      </c>
      <c r="C58" s="25" t="b">
        <v>0</v>
      </c>
      <c r="D58" s="12">
        <f t="shared" ref="D58:D67" si="28">E58+NPV($K$5,F58:AK58)</f>
        <v>-66977269.82475394</v>
      </c>
      <c r="E58" s="11">
        <f t="shared" ref="E58:AL58" si="29">SUMIFS(E$52:E$55,$B$52:$B$55,$B$58)+SUMIFS(E$44:E$48,$B$44:$B$48,$B$58)</f>
        <v>0</v>
      </c>
      <c r="F58" s="11">
        <f t="shared" si="29"/>
        <v>0</v>
      </c>
      <c r="G58" s="11">
        <f t="shared" si="29"/>
        <v>0</v>
      </c>
      <c r="H58" s="11">
        <f t="shared" si="29"/>
        <v>-2592893.5</v>
      </c>
      <c r="I58" s="11">
        <f t="shared" si="29"/>
        <v>-4656705.5351498164</v>
      </c>
      <c r="J58" s="11">
        <f t="shared" si="29"/>
        <v>-4656705.5351498164</v>
      </c>
      <c r="K58" s="11">
        <f t="shared" si="29"/>
        <v>-4656705.5351498164</v>
      </c>
      <c r="L58" s="11">
        <f t="shared" si="29"/>
        <v>-4656705.5351498164</v>
      </c>
      <c r="M58" s="11">
        <f t="shared" si="29"/>
        <v>-4656705.5351498164</v>
      </c>
      <c r="N58" s="11">
        <f t="shared" si="29"/>
        <v>-4656705.5351498164</v>
      </c>
      <c r="O58" s="11">
        <f t="shared" si="29"/>
        <v>-4656705.5351498164</v>
      </c>
      <c r="P58" s="11">
        <f t="shared" si="29"/>
        <v>-4656705.5351498164</v>
      </c>
      <c r="Q58" s="11">
        <f t="shared" si="29"/>
        <v>-4656705.5351498174</v>
      </c>
      <c r="R58" s="11">
        <f t="shared" si="29"/>
        <v>-4656705.5351498164</v>
      </c>
      <c r="S58" s="11">
        <f t="shared" si="29"/>
        <v>-4656705.5351498164</v>
      </c>
      <c r="T58" s="11">
        <f t="shared" si="29"/>
        <v>-4656705.5351498164</v>
      </c>
      <c r="U58" s="11">
        <f t="shared" si="29"/>
        <v>-4656705.5351498164</v>
      </c>
      <c r="V58" s="11">
        <f t="shared" si="29"/>
        <v>-4656705.5351498164</v>
      </c>
      <c r="W58" s="11">
        <f t="shared" si="29"/>
        <v>-4656705.5351498164</v>
      </c>
      <c r="X58" s="11">
        <f t="shared" si="29"/>
        <v>-4656705.5351498164</v>
      </c>
      <c r="Y58" s="11">
        <f t="shared" si="29"/>
        <v>-4656705.5351498164</v>
      </c>
      <c r="Z58" s="11">
        <f t="shared" si="29"/>
        <v>-4656705.5351498164</v>
      </c>
      <c r="AA58" s="11">
        <f t="shared" si="29"/>
        <v>-4656705.5351498164</v>
      </c>
      <c r="AB58" s="11">
        <f t="shared" si="29"/>
        <v>-4656705.5351498164</v>
      </c>
      <c r="AC58" s="11">
        <f t="shared" si="29"/>
        <v>-4656705.5351498164</v>
      </c>
      <c r="AD58" s="11">
        <f t="shared" si="29"/>
        <v>-4656705.5351498174</v>
      </c>
      <c r="AE58" s="11">
        <f t="shared" si="29"/>
        <v>-4656705.5351498164</v>
      </c>
      <c r="AF58" s="11">
        <f t="shared" si="29"/>
        <v>-4656705.5351498164</v>
      </c>
      <c r="AG58" s="11">
        <f t="shared" si="29"/>
        <v>-4656705.5351498164</v>
      </c>
      <c r="AH58" s="11">
        <f t="shared" si="29"/>
        <v>0</v>
      </c>
      <c r="AI58" s="11">
        <f t="shared" si="29"/>
        <v>0</v>
      </c>
      <c r="AJ58" s="11">
        <f t="shared" si="29"/>
        <v>0</v>
      </c>
      <c r="AK58" s="11">
        <f t="shared" si="29"/>
        <v>0</v>
      </c>
      <c r="AL58" s="11">
        <f t="shared" si="29"/>
        <v>0</v>
      </c>
    </row>
    <row r="59" spans="1:38" s="25" customFormat="1" x14ac:dyDescent="0.2">
      <c r="A59" s="25" t="s">
        <v>82</v>
      </c>
      <c r="B59" s="25" t="s">
        <v>52</v>
      </c>
      <c r="C59" s="25" t="b">
        <v>0</v>
      </c>
      <c r="D59" s="12">
        <f t="shared" si="28"/>
        <v>11523407.539197717</v>
      </c>
      <c r="E59" s="11">
        <f t="shared" ref="E59:AL59" si="30">SUMIFS(E$21:E$48,$B$21:$B$48,$B$59)</f>
        <v>0</v>
      </c>
      <c r="F59" s="11">
        <f t="shared" si="30"/>
        <v>0</v>
      </c>
      <c r="G59" s="11">
        <f t="shared" si="30"/>
        <v>0</v>
      </c>
      <c r="H59" s="11">
        <f t="shared" si="30"/>
        <v>0</v>
      </c>
      <c r="I59" s="11">
        <f t="shared" si="30"/>
        <v>285547.17578860885</v>
      </c>
      <c r="J59" s="11">
        <f t="shared" si="30"/>
        <v>328280.56538860872</v>
      </c>
      <c r="K59" s="11">
        <f t="shared" si="30"/>
        <v>371868.62278060883</v>
      </c>
      <c r="L59" s="11">
        <f t="shared" si="30"/>
        <v>416328.44132044853</v>
      </c>
      <c r="M59" s="11">
        <f t="shared" si="30"/>
        <v>461677.45623108558</v>
      </c>
      <c r="N59" s="11">
        <f t="shared" si="30"/>
        <v>507933.45143993536</v>
      </c>
      <c r="O59" s="11">
        <f t="shared" si="30"/>
        <v>555114.56655296125</v>
      </c>
      <c r="P59" s="11">
        <f t="shared" si="30"/>
        <v>603239.30396824831</v>
      </c>
      <c r="Q59" s="11">
        <f t="shared" si="30"/>
        <v>652326.53613184183</v>
      </c>
      <c r="R59" s="11">
        <f t="shared" si="30"/>
        <v>-2070873.1870612942</v>
      </c>
      <c r="S59" s="11">
        <f t="shared" si="30"/>
        <v>753465.8692817078</v>
      </c>
      <c r="T59" s="11">
        <f t="shared" si="30"/>
        <v>805557.63275157008</v>
      </c>
      <c r="U59" s="11">
        <f t="shared" si="30"/>
        <v>858691.23149082903</v>
      </c>
      <c r="V59" s="11">
        <f t="shared" si="30"/>
        <v>912887.50220487372</v>
      </c>
      <c r="W59" s="11">
        <f t="shared" si="30"/>
        <v>968167.69833319867</v>
      </c>
      <c r="X59" s="11">
        <f t="shared" si="30"/>
        <v>1024553.4983840904</v>
      </c>
      <c r="Y59" s="11">
        <f t="shared" si="30"/>
        <v>1082067.0144360005</v>
      </c>
      <c r="Z59" s="11">
        <f t="shared" si="30"/>
        <v>1140730.8008089482</v>
      </c>
      <c r="AA59" s="11">
        <f t="shared" si="30"/>
        <v>1200567.8629093547</v>
      </c>
      <c r="AB59" s="11">
        <f t="shared" si="30"/>
        <v>-1511667.03374823</v>
      </c>
      <c r="AC59" s="11">
        <f t="shared" si="30"/>
        <v>1323856.1456610332</v>
      </c>
      <c r="AD59" s="11">
        <f t="shared" si="30"/>
        <v>1387355.7146584815</v>
      </c>
      <c r="AE59" s="11">
        <f t="shared" si="30"/>
        <v>1452125.2750358786</v>
      </c>
      <c r="AF59" s="11">
        <f t="shared" si="30"/>
        <v>1518190.2266208241</v>
      </c>
      <c r="AG59" s="11">
        <f t="shared" si="30"/>
        <v>1585576.4772374684</v>
      </c>
      <c r="AH59" s="11">
        <f t="shared" si="30"/>
        <v>2785896.2304302431</v>
      </c>
      <c r="AI59" s="11">
        <f t="shared" si="30"/>
        <v>2856004.8855717992</v>
      </c>
      <c r="AJ59" s="11">
        <f t="shared" si="30"/>
        <v>2927515.7138161878</v>
      </c>
      <c r="AK59" s="11">
        <f t="shared" si="30"/>
        <v>3000456.7586254627</v>
      </c>
      <c r="AL59" s="11">
        <f t="shared" si="30"/>
        <v>301587.92433092411</v>
      </c>
    </row>
    <row r="60" spans="1:38" x14ac:dyDescent="0.2">
      <c r="A60" t="s">
        <v>83</v>
      </c>
      <c r="B60" t="s">
        <v>52</v>
      </c>
      <c r="C60" t="b">
        <v>0</v>
      </c>
      <c r="D60" s="10">
        <f t="shared" si="28"/>
        <v>-67905806.792074069</v>
      </c>
      <c r="E60" s="9">
        <f>IF($B$9="BOB",IF(E$18=0,E58,IF(F$18=0,(F58/(1+$B$13))*(ROUNDUP($B$14,0)-$B$14),0))*(1+$K$14),0)</f>
        <v>0</v>
      </c>
      <c r="F60" s="9">
        <f t="shared" ref="F60:AL60" si="31">IF($B$9="BOB",IF(F$18=0,F58,IF(G$18=0,(G58/(1+$B$13))*(ROUNDUP($B$14,0)-$B$14),0))*(1+$K$14),0)</f>
        <v>0</v>
      </c>
      <c r="G60" s="9">
        <f t="shared" si="31"/>
        <v>0</v>
      </c>
      <c r="H60" s="9">
        <f t="shared" si="31"/>
        <v>0</v>
      </c>
      <c r="I60" s="9">
        <f t="shared" si="31"/>
        <v>-4889540.8119073072</v>
      </c>
      <c r="J60" s="9">
        <f t="shared" si="31"/>
        <v>-4889540.8119073072</v>
      </c>
      <c r="K60" s="9">
        <f t="shared" si="31"/>
        <v>-4889540.8119073072</v>
      </c>
      <c r="L60" s="9">
        <f t="shared" si="31"/>
        <v>-4889540.8119073072</v>
      </c>
      <c r="M60" s="9">
        <f t="shared" si="31"/>
        <v>-4889540.8119073072</v>
      </c>
      <c r="N60" s="9">
        <f t="shared" si="31"/>
        <v>-4889540.8119073072</v>
      </c>
      <c r="O60" s="9">
        <f t="shared" si="31"/>
        <v>-4889540.8119073072</v>
      </c>
      <c r="P60" s="9">
        <f t="shared" si="31"/>
        <v>-4889540.8119073072</v>
      </c>
      <c r="Q60" s="9">
        <f t="shared" si="31"/>
        <v>-4889540.8119073082</v>
      </c>
      <c r="R60" s="9">
        <f t="shared" si="31"/>
        <v>-4889540.8119073072</v>
      </c>
      <c r="S60" s="9">
        <f t="shared" si="31"/>
        <v>-4889540.8119073072</v>
      </c>
      <c r="T60" s="9">
        <f t="shared" si="31"/>
        <v>-4889540.8119073072</v>
      </c>
      <c r="U60" s="9">
        <f t="shared" si="31"/>
        <v>-4889540.8119073072</v>
      </c>
      <c r="V60" s="9">
        <f t="shared" si="31"/>
        <v>-4889540.8119073072</v>
      </c>
      <c r="W60" s="9">
        <f t="shared" si="31"/>
        <v>-4889540.8119073072</v>
      </c>
      <c r="X60" s="9">
        <f t="shared" si="31"/>
        <v>-4889540.8119073072</v>
      </c>
      <c r="Y60" s="9">
        <f t="shared" si="31"/>
        <v>-4889540.8119073072</v>
      </c>
      <c r="Z60" s="9">
        <f t="shared" si="31"/>
        <v>-4889540.8119073072</v>
      </c>
      <c r="AA60" s="9">
        <f t="shared" si="31"/>
        <v>-4889540.8119073072</v>
      </c>
      <c r="AB60" s="9">
        <f t="shared" si="31"/>
        <v>-4889540.8119073072</v>
      </c>
      <c r="AC60" s="9">
        <f t="shared" si="31"/>
        <v>-4889540.8119073072</v>
      </c>
      <c r="AD60" s="9">
        <f t="shared" si="31"/>
        <v>-4889540.8119073082</v>
      </c>
      <c r="AE60" s="9">
        <f t="shared" si="31"/>
        <v>-4889540.8119073072</v>
      </c>
      <c r="AF60" s="9">
        <f t="shared" si="31"/>
        <v>-4889540.8119073072</v>
      </c>
      <c r="AG60" s="9">
        <f t="shared" si="31"/>
        <v>-4889540.8119073072</v>
      </c>
      <c r="AH60" s="9">
        <f t="shared" si="31"/>
        <v>0</v>
      </c>
      <c r="AI60" s="9">
        <f t="shared" si="31"/>
        <v>0</v>
      </c>
      <c r="AJ60" s="9">
        <f t="shared" si="31"/>
        <v>0</v>
      </c>
      <c r="AK60" s="9">
        <f t="shared" si="31"/>
        <v>0</v>
      </c>
      <c r="AL60" s="9">
        <f t="shared" si="31"/>
        <v>0</v>
      </c>
    </row>
    <row r="61" spans="1:38" x14ac:dyDescent="0.2">
      <c r="A61" t="s">
        <v>84</v>
      </c>
      <c r="B61" t="s">
        <v>52</v>
      </c>
      <c r="C61" t="b">
        <f>B61="BOB"</f>
        <v>0</v>
      </c>
      <c r="D61" s="10">
        <f t="shared" si="28"/>
        <v>64672196.944832459</v>
      </c>
      <c r="E61" s="9">
        <f>-E60/(1+$B$11)</f>
        <v>0</v>
      </c>
      <c r="F61" s="9">
        <f t="shared" ref="F61:AL61" si="32">-F60/(1+$B$11)</f>
        <v>0</v>
      </c>
      <c r="G61" s="9">
        <f>-G60/(1+$B$11)</f>
        <v>0</v>
      </c>
      <c r="H61" s="9">
        <f t="shared" si="32"/>
        <v>0</v>
      </c>
      <c r="I61" s="9">
        <f t="shared" si="32"/>
        <v>4656705.5351498164</v>
      </c>
      <c r="J61" s="9">
        <f t="shared" si="32"/>
        <v>4656705.5351498164</v>
      </c>
      <c r="K61" s="9">
        <f t="shared" si="32"/>
        <v>4656705.5351498164</v>
      </c>
      <c r="L61" s="9">
        <f t="shared" si="32"/>
        <v>4656705.5351498164</v>
      </c>
      <c r="M61" s="9">
        <f t="shared" si="32"/>
        <v>4656705.5351498164</v>
      </c>
      <c r="N61" s="9">
        <f t="shared" si="32"/>
        <v>4656705.5351498164</v>
      </c>
      <c r="O61" s="9">
        <f t="shared" si="32"/>
        <v>4656705.5351498164</v>
      </c>
      <c r="P61" s="9">
        <f t="shared" si="32"/>
        <v>4656705.5351498164</v>
      </c>
      <c r="Q61" s="9">
        <f t="shared" si="32"/>
        <v>4656705.5351498174</v>
      </c>
      <c r="R61" s="9">
        <f t="shared" si="32"/>
        <v>4656705.5351498164</v>
      </c>
      <c r="S61" s="9">
        <f t="shared" si="32"/>
        <v>4656705.5351498164</v>
      </c>
      <c r="T61" s="9">
        <f t="shared" si="32"/>
        <v>4656705.5351498164</v>
      </c>
      <c r="U61" s="9">
        <f t="shared" si="32"/>
        <v>4656705.5351498164</v>
      </c>
      <c r="V61" s="9">
        <f t="shared" si="32"/>
        <v>4656705.5351498164</v>
      </c>
      <c r="W61" s="9">
        <f t="shared" si="32"/>
        <v>4656705.5351498164</v>
      </c>
      <c r="X61" s="9">
        <f t="shared" si="32"/>
        <v>4656705.5351498164</v>
      </c>
      <c r="Y61" s="9">
        <f t="shared" si="32"/>
        <v>4656705.5351498164</v>
      </c>
      <c r="Z61" s="9">
        <f t="shared" si="32"/>
        <v>4656705.5351498164</v>
      </c>
      <c r="AA61" s="9">
        <f t="shared" si="32"/>
        <v>4656705.5351498164</v>
      </c>
      <c r="AB61" s="9">
        <f t="shared" si="32"/>
        <v>4656705.5351498164</v>
      </c>
      <c r="AC61" s="9">
        <f t="shared" si="32"/>
        <v>4656705.5351498164</v>
      </c>
      <c r="AD61" s="9">
        <f t="shared" si="32"/>
        <v>4656705.5351498174</v>
      </c>
      <c r="AE61" s="9">
        <f t="shared" si="32"/>
        <v>4656705.5351498164</v>
      </c>
      <c r="AF61" s="9">
        <f t="shared" si="32"/>
        <v>4656705.5351498164</v>
      </c>
      <c r="AG61" s="9">
        <f t="shared" si="32"/>
        <v>4656705.5351498164</v>
      </c>
      <c r="AH61" s="9">
        <f t="shared" si="32"/>
        <v>0</v>
      </c>
      <c r="AI61" s="9">
        <f t="shared" si="32"/>
        <v>0</v>
      </c>
      <c r="AJ61" s="9">
        <f t="shared" si="32"/>
        <v>0</v>
      </c>
      <c r="AK61" s="9">
        <f t="shared" si="32"/>
        <v>0</v>
      </c>
      <c r="AL61" s="9">
        <f t="shared" si="32"/>
        <v>0</v>
      </c>
    </row>
    <row r="62" spans="1:38" x14ac:dyDescent="0.2">
      <c r="A62" t="s">
        <v>85</v>
      </c>
      <c r="B62" t="str">
        <f>B21</f>
        <v>BOB</v>
      </c>
      <c r="C62" t="b">
        <f>B62="BOB"</f>
        <v>1</v>
      </c>
      <c r="D62" s="10">
        <f t="shared" si="28"/>
        <v>-3962994.6470370214</v>
      </c>
      <c r="E62" s="9">
        <f t="shared" ref="E62" si="33">IF(E19&gt;$B$14,$E$14*$E$9*POWER(1+$B$13,E$19-ROUNDUP($B$14,0)),0)*IF(E$18=0,1,ROUNDUP($B$14,0)-$B$14)*IF($C62,1/(1+$B$7),1)</f>
        <v>0</v>
      </c>
      <c r="F62" s="9">
        <f>IF(F19&gt;$B$14,$E$14*$E$9*POWER(1+$B$13,F$19-ROUNDUP($B$14,0)),0)*IF(F$18=0,1,ROUNDUP($B$14,0)-$B$14)*IF($C62,1/(1+$B$7),1)</f>
        <v>0</v>
      </c>
      <c r="G62" s="9">
        <f t="shared" ref="G62:AL62" si="34">IF(G19&gt;$B$14,$E$14*$E$9*POWER(1+$B$13,G$19-ROUNDUP($B$14,0)),0)*IF(G$18=0,1,ROUNDUP($B$14,0)-$B$14)*IF($C62,1/(1+$B$7),1)</f>
        <v>0</v>
      </c>
      <c r="H62" s="9">
        <f t="shared" si="34"/>
        <v>0</v>
      </c>
      <c r="I62" s="9">
        <f t="shared" si="34"/>
        <v>-207065.05853658536</v>
      </c>
      <c r="J62" s="9">
        <f t="shared" si="34"/>
        <v>-211206.35970731708</v>
      </c>
      <c r="K62" s="9">
        <f t="shared" si="34"/>
        <v>-215430.48690146339</v>
      </c>
      <c r="L62" s="9">
        <f t="shared" si="34"/>
        <v>-219739.09663949269</v>
      </c>
      <c r="M62" s="9">
        <f t="shared" si="34"/>
        <v>-224133.87857228253</v>
      </c>
      <c r="N62" s="9">
        <f t="shared" si="34"/>
        <v>-228616.5561437282</v>
      </c>
      <c r="O62" s="9">
        <f t="shared" si="34"/>
        <v>-233188.88726660269</v>
      </c>
      <c r="P62" s="9">
        <f t="shared" si="34"/>
        <v>-237852.66501193479</v>
      </c>
      <c r="Q62" s="9">
        <f t="shared" si="34"/>
        <v>-242609.7183121735</v>
      </c>
      <c r="R62" s="9">
        <f t="shared" si="34"/>
        <v>-247461.91267841699</v>
      </c>
      <c r="S62" s="9">
        <f t="shared" si="34"/>
        <v>-252411.15093198523</v>
      </c>
      <c r="T62" s="9">
        <f t="shared" si="34"/>
        <v>-257459.37395062498</v>
      </c>
      <c r="U62" s="9">
        <f t="shared" si="34"/>
        <v>-262608.56142963748</v>
      </c>
      <c r="V62" s="9">
        <f t="shared" si="34"/>
        <v>-267860.73265823029</v>
      </c>
      <c r="W62" s="9">
        <f t="shared" si="34"/>
        <v>-273217.94731139479</v>
      </c>
      <c r="X62" s="9">
        <f t="shared" si="34"/>
        <v>-278682.30625762278</v>
      </c>
      <c r="Y62" s="9">
        <f t="shared" si="34"/>
        <v>-284255.9523827752</v>
      </c>
      <c r="Z62" s="9">
        <f t="shared" si="34"/>
        <v>-289941.07143043069</v>
      </c>
      <c r="AA62" s="9">
        <f t="shared" si="34"/>
        <v>-295739.8928590393</v>
      </c>
      <c r="AB62" s="9">
        <f t="shared" si="34"/>
        <v>-301654.69071622012</v>
      </c>
      <c r="AC62" s="9">
        <f t="shared" si="34"/>
        <v>-307687.78453054448</v>
      </c>
      <c r="AD62" s="9">
        <f t="shared" si="34"/>
        <v>-313841.54022115539</v>
      </c>
      <c r="AE62" s="9">
        <f t="shared" si="34"/>
        <v>-320118.37102557847</v>
      </c>
      <c r="AF62" s="9">
        <f t="shared" si="34"/>
        <v>-326520.73844609002</v>
      </c>
      <c r="AG62" s="9">
        <f t="shared" si="34"/>
        <v>-333051.15321501187</v>
      </c>
      <c r="AH62" s="9">
        <f t="shared" si="34"/>
        <v>-339712.17627931212</v>
      </c>
      <c r="AI62" s="9">
        <f t="shared" si="34"/>
        <v>-346506.41980489832</v>
      </c>
      <c r="AJ62" s="9">
        <f t="shared" si="34"/>
        <v>-353436.54820099636</v>
      </c>
      <c r="AK62" s="9">
        <f t="shared" si="34"/>
        <v>-360505.2791650162</v>
      </c>
      <c r="AL62" s="9">
        <f t="shared" si="34"/>
        <v>-367715.38474831654</v>
      </c>
    </row>
    <row r="63" spans="1:38" x14ac:dyDescent="0.2">
      <c r="A63" t="s">
        <v>86</v>
      </c>
      <c r="B63" t="str">
        <f>B22</f>
        <v>HMBA</v>
      </c>
      <c r="C63" t="b">
        <v>0</v>
      </c>
      <c r="D63" s="10">
        <f t="shared" si="28"/>
        <v>-7107837.9346453585</v>
      </c>
      <c r="E63" s="24">
        <f>IF(E19&gt;$B$14,$N$14*$E$5*POWER(1+$B$13,E$19-ROUNDUP($B$14,0)),0)*IF(E$18=0,1,ROUNDUP($B$14,0)-$B$14)</f>
        <v>0</v>
      </c>
      <c r="F63" s="24">
        <f t="shared" ref="F63:AL63" si="35">IF(F19&gt;$B$14,$N$14*$E$5*POWER(1+$B$13,F$19-ROUNDUP($B$14,0)),0)*IF(F$18=0,1,ROUNDUP($B$14,0)-$B$14)</f>
        <v>0</v>
      </c>
      <c r="G63" s="24">
        <f t="shared" si="35"/>
        <v>0</v>
      </c>
      <c r="H63" s="24">
        <f t="shared" si="35"/>
        <v>0</v>
      </c>
      <c r="I63" s="24">
        <f t="shared" si="35"/>
        <v>-371382</v>
      </c>
      <c r="J63" s="24">
        <f t="shared" si="35"/>
        <v>-378809.64</v>
      </c>
      <c r="K63" s="24">
        <f t="shared" si="35"/>
        <v>-386385.83279999997</v>
      </c>
      <c r="L63" s="24">
        <f t="shared" si="35"/>
        <v>-394113.54945599998</v>
      </c>
      <c r="M63" s="24">
        <f t="shared" si="35"/>
        <v>-401995.82044511999</v>
      </c>
      <c r="N63" s="24">
        <f t="shared" si="35"/>
        <v>-410035.73685402243</v>
      </c>
      <c r="O63" s="24">
        <f t="shared" si="35"/>
        <v>-418236.45159110276</v>
      </c>
      <c r="P63" s="24">
        <f t="shared" si="35"/>
        <v>-426601.18062292488</v>
      </c>
      <c r="Q63" s="24">
        <f t="shared" si="35"/>
        <v>-435133.20423538337</v>
      </c>
      <c r="R63" s="24">
        <f t="shared" si="35"/>
        <v>-443835.86832009105</v>
      </c>
      <c r="S63" s="24">
        <f t="shared" si="35"/>
        <v>-452712.58568649279</v>
      </c>
      <c r="T63" s="24">
        <f t="shared" si="35"/>
        <v>-461766.83740022272</v>
      </c>
      <c r="U63" s="24">
        <f t="shared" si="35"/>
        <v>-471002.17414822715</v>
      </c>
      <c r="V63" s="24">
        <f t="shared" si="35"/>
        <v>-480422.21763119177</v>
      </c>
      <c r="W63" s="24">
        <f t="shared" si="35"/>
        <v>-490030.66198381543</v>
      </c>
      <c r="X63" s="24">
        <f t="shared" si="35"/>
        <v>-499831.27522349183</v>
      </c>
      <c r="Y63" s="24">
        <f t="shared" si="35"/>
        <v>-509827.90072796174</v>
      </c>
      <c r="Z63" s="24">
        <f t="shared" si="35"/>
        <v>-520024.45874252089</v>
      </c>
      <c r="AA63" s="24">
        <f t="shared" si="35"/>
        <v>-530424.94791737129</v>
      </c>
      <c r="AB63" s="24">
        <f t="shared" si="35"/>
        <v>-541033.44687571877</v>
      </c>
      <c r="AC63" s="24">
        <f t="shared" si="35"/>
        <v>-551854.11581323307</v>
      </c>
      <c r="AD63" s="24">
        <f t="shared" si="35"/>
        <v>-562891.19812949782</v>
      </c>
      <c r="AE63" s="24">
        <f t="shared" si="35"/>
        <v>-574149.02209208766</v>
      </c>
      <c r="AF63" s="24">
        <f t="shared" si="35"/>
        <v>-585632.00253392942</v>
      </c>
      <c r="AG63" s="24">
        <f t="shared" si="35"/>
        <v>-597344.64258460805</v>
      </c>
      <c r="AH63" s="24">
        <f t="shared" si="35"/>
        <v>-609291.53543630021</v>
      </c>
      <c r="AI63" s="24">
        <f t="shared" si="35"/>
        <v>-621477.36614502617</v>
      </c>
      <c r="AJ63" s="24">
        <f t="shared" si="35"/>
        <v>-633906.91346792679</v>
      </c>
      <c r="AK63" s="24">
        <f t="shared" si="35"/>
        <v>-646585.05173728522</v>
      </c>
      <c r="AL63" s="24">
        <f t="shared" si="35"/>
        <v>-659516.752772031</v>
      </c>
    </row>
    <row r="64" spans="1:38" s="16" customFormat="1" x14ac:dyDescent="0.2">
      <c r="A64" s="15" t="s">
        <v>67</v>
      </c>
      <c r="B64" s="15" t="s">
        <v>50</v>
      </c>
      <c r="D64" s="19">
        <f t="shared" si="28"/>
        <v>3233609.8472416229</v>
      </c>
      <c r="E64" s="18">
        <f>E61*$B$11</f>
        <v>0</v>
      </c>
      <c r="F64" s="18">
        <f t="shared" ref="F64:AL65" si="36">F61*$B$11</f>
        <v>0</v>
      </c>
      <c r="G64" s="18">
        <f t="shared" si="36"/>
        <v>0</v>
      </c>
      <c r="H64" s="18">
        <f t="shared" si="36"/>
        <v>0</v>
      </c>
      <c r="I64" s="18">
        <f t="shared" si="36"/>
        <v>232835.27675749082</v>
      </c>
      <c r="J64" s="18">
        <f t="shared" si="36"/>
        <v>232835.27675749082</v>
      </c>
      <c r="K64" s="18">
        <f t="shared" si="36"/>
        <v>232835.27675749082</v>
      </c>
      <c r="L64" s="18">
        <f t="shared" si="36"/>
        <v>232835.27675749082</v>
      </c>
      <c r="M64" s="18">
        <f t="shared" si="36"/>
        <v>232835.27675749082</v>
      </c>
      <c r="N64" s="18">
        <f t="shared" si="36"/>
        <v>232835.27675749082</v>
      </c>
      <c r="O64" s="18">
        <f t="shared" si="36"/>
        <v>232835.27675749082</v>
      </c>
      <c r="P64" s="18">
        <f t="shared" si="36"/>
        <v>232835.27675749082</v>
      </c>
      <c r="Q64" s="18">
        <f t="shared" si="36"/>
        <v>232835.27675749088</v>
      </c>
      <c r="R64" s="18">
        <f t="shared" si="36"/>
        <v>232835.27675749082</v>
      </c>
      <c r="S64" s="18">
        <f t="shared" si="36"/>
        <v>232835.27675749082</v>
      </c>
      <c r="T64" s="18">
        <f t="shared" si="36"/>
        <v>232835.27675749082</v>
      </c>
      <c r="U64" s="18">
        <f t="shared" si="36"/>
        <v>232835.27675749082</v>
      </c>
      <c r="V64" s="18">
        <f t="shared" si="36"/>
        <v>232835.27675749082</v>
      </c>
      <c r="W64" s="18">
        <f t="shared" si="36"/>
        <v>232835.27675749082</v>
      </c>
      <c r="X64" s="18">
        <f t="shared" si="36"/>
        <v>232835.27675749082</v>
      </c>
      <c r="Y64" s="18">
        <f t="shared" si="36"/>
        <v>232835.27675749082</v>
      </c>
      <c r="Z64" s="18">
        <f t="shared" si="36"/>
        <v>232835.27675749082</v>
      </c>
      <c r="AA64" s="18">
        <f t="shared" si="36"/>
        <v>232835.27675749082</v>
      </c>
      <c r="AB64" s="18">
        <f t="shared" si="36"/>
        <v>232835.27675749082</v>
      </c>
      <c r="AC64" s="18">
        <f t="shared" si="36"/>
        <v>232835.27675749082</v>
      </c>
      <c r="AD64" s="18">
        <f t="shared" si="36"/>
        <v>232835.27675749088</v>
      </c>
      <c r="AE64" s="18">
        <f t="shared" si="36"/>
        <v>232835.27675749082</v>
      </c>
      <c r="AF64" s="18">
        <f t="shared" si="36"/>
        <v>232835.27675749082</v>
      </c>
      <c r="AG64" s="18">
        <f t="shared" si="36"/>
        <v>232835.27675749082</v>
      </c>
      <c r="AH64" s="18">
        <f t="shared" si="36"/>
        <v>0</v>
      </c>
      <c r="AI64" s="18">
        <f t="shared" si="36"/>
        <v>0</v>
      </c>
      <c r="AJ64" s="18">
        <f t="shared" si="36"/>
        <v>0</v>
      </c>
      <c r="AK64" s="18">
        <f t="shared" si="36"/>
        <v>0</v>
      </c>
      <c r="AL64" s="18">
        <f t="shared" si="36"/>
        <v>0</v>
      </c>
    </row>
    <row r="65" spans="1:38" s="16" customFormat="1" x14ac:dyDescent="0.2">
      <c r="A65" s="15" t="s">
        <v>53</v>
      </c>
      <c r="B65" s="15" t="s">
        <v>50</v>
      </c>
      <c r="D65" s="19">
        <f t="shared" si="28"/>
        <v>-198149.73235185107</v>
      </c>
      <c r="E65" s="18">
        <f>E62*$B$11</f>
        <v>0</v>
      </c>
      <c r="F65" s="18">
        <f t="shared" si="36"/>
        <v>0</v>
      </c>
      <c r="G65" s="18">
        <f t="shared" si="36"/>
        <v>0</v>
      </c>
      <c r="H65" s="18">
        <f t="shared" si="36"/>
        <v>0</v>
      </c>
      <c r="I65" s="18">
        <f t="shared" si="36"/>
        <v>-10353.252926829269</v>
      </c>
      <c r="J65" s="18">
        <f t="shared" si="36"/>
        <v>-10560.317985365855</v>
      </c>
      <c r="K65" s="18">
        <f t="shared" si="36"/>
        <v>-10771.52434507317</v>
      </c>
      <c r="L65" s="18">
        <f t="shared" si="36"/>
        <v>-10986.954831974635</v>
      </c>
      <c r="M65" s="18">
        <f t="shared" si="36"/>
        <v>-11206.693928614128</v>
      </c>
      <c r="N65" s="18">
        <f t="shared" si="36"/>
        <v>-11430.827807186412</v>
      </c>
      <c r="O65" s="18">
        <f t="shared" si="36"/>
        <v>-11659.444363330134</v>
      </c>
      <c r="P65" s="18">
        <f t="shared" si="36"/>
        <v>-11892.63325059674</v>
      </c>
      <c r="Q65" s="18">
        <f t="shared" si="36"/>
        <v>-12130.485915608675</v>
      </c>
      <c r="R65" s="18">
        <f t="shared" si="36"/>
        <v>-12373.09563392085</v>
      </c>
      <c r="S65" s="18">
        <f t="shared" si="36"/>
        <v>-12620.557546599262</v>
      </c>
      <c r="T65" s="18">
        <f t="shared" si="36"/>
        <v>-12872.968697531251</v>
      </c>
      <c r="U65" s="18">
        <f t="shared" si="36"/>
        <v>-13130.428071481874</v>
      </c>
      <c r="V65" s="18">
        <f t="shared" si="36"/>
        <v>-13393.036632911515</v>
      </c>
      <c r="W65" s="18">
        <f t="shared" si="36"/>
        <v>-13660.897365569741</v>
      </c>
      <c r="X65" s="18">
        <f t="shared" si="36"/>
        <v>-13934.11531288114</v>
      </c>
      <c r="Y65" s="18">
        <f t="shared" si="36"/>
        <v>-14212.797619138761</v>
      </c>
      <c r="Z65" s="18">
        <f t="shared" si="36"/>
        <v>-14497.053571521536</v>
      </c>
      <c r="AA65" s="18">
        <f t="shared" si="36"/>
        <v>-14786.994642951966</v>
      </c>
      <c r="AB65" s="18">
        <f t="shared" si="36"/>
        <v>-15082.734535811007</v>
      </c>
      <c r="AC65" s="18">
        <f t="shared" si="36"/>
        <v>-15384.389226527224</v>
      </c>
      <c r="AD65" s="18">
        <f t="shared" si="36"/>
        <v>-15692.077011057771</v>
      </c>
      <c r="AE65" s="18">
        <f t="shared" si="36"/>
        <v>-16005.918551278924</v>
      </c>
      <c r="AF65" s="18">
        <f t="shared" si="36"/>
        <v>-16326.036922304502</v>
      </c>
      <c r="AG65" s="18">
        <f t="shared" si="36"/>
        <v>-16652.557660750594</v>
      </c>
      <c r="AH65" s="18">
        <f t="shared" si="36"/>
        <v>-16985.608813965606</v>
      </c>
      <c r="AI65" s="18">
        <f t="shared" si="36"/>
        <v>-17325.320990244916</v>
      </c>
      <c r="AJ65" s="18">
        <f t="shared" si="36"/>
        <v>-17671.82741004982</v>
      </c>
      <c r="AK65" s="18">
        <f t="shared" si="36"/>
        <v>-18025.263958250809</v>
      </c>
      <c r="AL65" s="18">
        <f t="shared" si="36"/>
        <v>-18385.769237415829</v>
      </c>
    </row>
    <row r="67" spans="1:38" x14ac:dyDescent="0.2">
      <c r="A67" t="s">
        <v>87</v>
      </c>
      <c r="B67" t="s">
        <v>50</v>
      </c>
      <c r="D67" s="10">
        <f t="shared" si="28"/>
        <v>-70828456.625653908</v>
      </c>
      <c r="E67" s="9">
        <f>SUMIFS(E$58:E$65,$B$58:$B$65,$B67)</f>
        <v>0</v>
      </c>
      <c r="F67" s="9">
        <f>SUMIFS(F$58:F$65,$B$58:$B$65,$B67)-E65-E64</f>
        <v>0</v>
      </c>
      <c r="G67" s="9">
        <f t="shared" ref="G67:AL67" si="37">SUMIFS(G$58:G$65,$B$58:$B$65,$B67)-F65-F64</f>
        <v>0</v>
      </c>
      <c r="H67" s="9">
        <f t="shared" si="37"/>
        <v>-2592893.5</v>
      </c>
      <c r="I67" s="9">
        <f t="shared" si="37"/>
        <v>-4641288.5698557403</v>
      </c>
      <c r="J67" s="9">
        <f t="shared" si="37"/>
        <v>-4868118.9599156706</v>
      </c>
      <c r="K67" s="9">
        <f t="shared" si="37"/>
        <v>-4872347.2284109863</v>
      </c>
      <c r="L67" s="9">
        <f t="shared" si="37"/>
        <v>-4876660.0622762106</v>
      </c>
      <c r="M67" s="9">
        <f t="shared" si="37"/>
        <v>-4881059.1528187385</v>
      </c>
      <c r="N67" s="9">
        <f t="shared" si="37"/>
        <v>-4885546.2251721164</v>
      </c>
      <c r="O67" s="9">
        <f t="shared" si="37"/>
        <v>-4890123.0389725631</v>
      </c>
      <c r="P67" s="9">
        <f t="shared" si="37"/>
        <v>-4894791.3890490178</v>
      </c>
      <c r="Q67" s="9">
        <f t="shared" si="37"/>
        <v>-4899553.1061270023</v>
      </c>
      <c r="R67" s="9">
        <f t="shared" si="37"/>
        <v>-4904410.0575465458</v>
      </c>
      <c r="S67" s="9">
        <f t="shared" si="37"/>
        <v>-4909364.1479944792</v>
      </c>
      <c r="T67" s="9">
        <f t="shared" si="37"/>
        <v>-4914417.3202513736</v>
      </c>
      <c r="U67" s="9">
        <f t="shared" si="37"/>
        <v>-4919571.5559534049</v>
      </c>
      <c r="V67" s="9">
        <f t="shared" si="37"/>
        <v>-4924828.8763694763</v>
      </c>
      <c r="W67" s="9">
        <f t="shared" si="37"/>
        <v>-4930191.34319387</v>
      </c>
      <c r="X67" s="9">
        <f t="shared" si="37"/>
        <v>-4935661.0593547495</v>
      </c>
      <c r="Y67" s="9">
        <f t="shared" si="37"/>
        <v>-4941240.1698388495</v>
      </c>
      <c r="Z67" s="9">
        <f t="shared" si="37"/>
        <v>-4946930.8625326296</v>
      </c>
      <c r="AA67" s="9">
        <f t="shared" si="37"/>
        <v>-4952735.3690802855</v>
      </c>
      <c r="AB67" s="9">
        <f t="shared" si="37"/>
        <v>-4958655.9657588964</v>
      </c>
      <c r="AC67" s="9">
        <f t="shared" si="37"/>
        <v>-4964694.9743710766</v>
      </c>
      <c r="AD67" s="9">
        <f t="shared" si="37"/>
        <v>-4970854.7631555041</v>
      </c>
      <c r="AE67" s="9">
        <f t="shared" si="37"/>
        <v>-4977137.7477156157</v>
      </c>
      <c r="AF67" s="9">
        <f t="shared" si="37"/>
        <v>-4983546.3919669325</v>
      </c>
      <c r="AG67" s="9">
        <f t="shared" si="37"/>
        <v>-4990083.2091032742</v>
      </c>
      <c r="AH67" s="9">
        <f t="shared" si="37"/>
        <v>-572880.50419001793</v>
      </c>
      <c r="AI67" s="9">
        <f t="shared" si="37"/>
        <v>-346846.1319811776</v>
      </c>
      <c r="AJ67" s="9">
        <f t="shared" si="37"/>
        <v>-353783.05462080124</v>
      </c>
      <c r="AK67" s="9">
        <f t="shared" si="37"/>
        <v>-360858.71571321721</v>
      </c>
      <c r="AL67" s="9">
        <f t="shared" si="37"/>
        <v>-368075.89002748154</v>
      </c>
    </row>
    <row r="68" spans="1:38" x14ac:dyDescent="0.2">
      <c r="A68" t="s">
        <v>87</v>
      </c>
      <c r="B68" t="s">
        <v>52</v>
      </c>
      <c r="D68" s="10">
        <f>E68+NPV($K$5,F68:AK68)</f>
        <v>1181959.7573107355</v>
      </c>
      <c r="E68" s="9">
        <f>SUMIFS(E$58:E$65,$B$58:$B$65,$B68)</f>
        <v>0</v>
      </c>
      <c r="F68" s="9">
        <f t="shared" ref="F68:AL68" si="38">SUMIFS(F$58:F$65,$B$58:$B$65,$B68)</f>
        <v>0</v>
      </c>
      <c r="G68" s="9">
        <f t="shared" si="38"/>
        <v>0</v>
      </c>
      <c r="H68" s="9">
        <f t="shared" si="38"/>
        <v>0</v>
      </c>
      <c r="I68" s="9">
        <f t="shared" si="38"/>
        <v>-318670.10096888244</v>
      </c>
      <c r="J68" s="9">
        <f t="shared" si="38"/>
        <v>-283364.35136888211</v>
      </c>
      <c r="K68" s="9">
        <f t="shared" si="38"/>
        <v>-247352.48677688185</v>
      </c>
      <c r="L68" s="9">
        <f t="shared" si="38"/>
        <v>-210620.38489304262</v>
      </c>
      <c r="M68" s="9">
        <f t="shared" si="38"/>
        <v>-173153.64097152522</v>
      </c>
      <c r="N68" s="9">
        <f t="shared" si="38"/>
        <v>-134937.56217157753</v>
      </c>
      <c r="O68" s="9">
        <f t="shared" si="38"/>
        <v>-95957.161795632332</v>
      </c>
      <c r="P68" s="9">
        <f t="shared" si="38"/>
        <v>-56197.15341216774</v>
      </c>
      <c r="Q68" s="9">
        <f t="shared" si="38"/>
        <v>-15641.944861032127</v>
      </c>
      <c r="R68" s="9">
        <f t="shared" si="38"/>
        <v>-2747544.332138876</v>
      </c>
      <c r="S68" s="9">
        <f t="shared" si="38"/>
        <v>67918.006837724184</v>
      </c>
      <c r="T68" s="9">
        <f t="shared" si="38"/>
        <v>110955.51859385654</v>
      </c>
      <c r="U68" s="9">
        <f t="shared" si="38"/>
        <v>154853.78058511106</v>
      </c>
      <c r="V68" s="9">
        <f t="shared" si="38"/>
        <v>199630.00781619101</v>
      </c>
      <c r="W68" s="9">
        <f t="shared" si="38"/>
        <v>245301.75959189242</v>
      </c>
      <c r="X68" s="9">
        <f t="shared" si="38"/>
        <v>291886.94640310749</v>
      </c>
      <c r="Y68" s="9">
        <f t="shared" si="38"/>
        <v>339403.83695054793</v>
      </c>
      <c r="Z68" s="9">
        <f t="shared" si="38"/>
        <v>387871.06530893676</v>
      </c>
      <c r="AA68" s="9">
        <f t="shared" si="38"/>
        <v>437307.63823449262</v>
      </c>
      <c r="AB68" s="9">
        <f t="shared" si="38"/>
        <v>-2285535.7573814397</v>
      </c>
      <c r="AC68" s="9">
        <f t="shared" si="38"/>
        <v>539166.75309030933</v>
      </c>
      <c r="AD68" s="9">
        <f t="shared" si="38"/>
        <v>591629.2397714929</v>
      </c>
      <c r="AE68" s="9">
        <f t="shared" si="38"/>
        <v>645140.97618630016</v>
      </c>
      <c r="AF68" s="9">
        <f t="shared" si="38"/>
        <v>699722.94732940383</v>
      </c>
      <c r="AG68" s="9">
        <f t="shared" si="38"/>
        <v>755396.55789536971</v>
      </c>
      <c r="AH68" s="9">
        <f t="shared" si="38"/>
        <v>2176604.694993943</v>
      </c>
      <c r="AI68" s="9">
        <f t="shared" si="38"/>
        <v>2234527.5194267733</v>
      </c>
      <c r="AJ68" s="9">
        <f t="shared" si="38"/>
        <v>2293608.8003482609</v>
      </c>
      <c r="AK68" s="9">
        <f t="shared" si="38"/>
        <v>2353871.7068881774</v>
      </c>
      <c r="AL68" s="9">
        <f t="shared" si="38"/>
        <v>-357928.82844110689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181A9-7AF0-AA4C-BD0E-041A2E782B15}">
  <dimension ref="A1:AL68"/>
  <sheetViews>
    <sheetView topLeftCell="A14" workbookViewId="0">
      <selection activeCell="C51" sqref="C51"/>
    </sheetView>
    <sheetView workbookViewId="1">
      <selection activeCell="D45" sqref="D45"/>
    </sheetView>
  </sheetViews>
  <sheetFormatPr baseColWidth="10" defaultColWidth="10.6640625" defaultRowHeight="16" x14ac:dyDescent="0.2"/>
  <cols>
    <col min="1" max="1" width="36" bestFit="1" customWidth="1"/>
    <col min="2" max="2" width="20.83203125" customWidth="1"/>
    <col min="4" max="4" width="21.83203125" customWidth="1"/>
    <col min="5" max="5" width="16.33203125" customWidth="1"/>
    <col min="6" max="6" width="36" bestFit="1" customWidth="1"/>
    <col min="7" max="7" width="23.1640625" customWidth="1"/>
    <col min="8" max="8" width="14.33203125" bestFit="1" customWidth="1"/>
    <col min="9" max="9" width="11.6640625" customWidth="1"/>
    <col min="10" max="10" width="16.1640625" customWidth="1"/>
    <col min="11" max="12" width="11" bestFit="1" customWidth="1"/>
    <col min="13" max="13" width="16.1640625" customWidth="1"/>
    <col min="14" max="14" width="14.33203125" bestFit="1" customWidth="1"/>
    <col min="15" max="15" width="12.33203125" bestFit="1" customWidth="1"/>
    <col min="16" max="28" width="11" bestFit="1" customWidth="1"/>
    <col min="29" max="29" width="10.83203125" bestFit="1" customWidth="1"/>
    <col min="30" max="38" width="11" bestFit="1" customWidth="1"/>
  </cols>
  <sheetData>
    <row r="1" spans="1:17" ht="19" x14ac:dyDescent="0.25">
      <c r="A1" s="2" t="s">
        <v>0</v>
      </c>
    </row>
    <row r="2" spans="1:17" x14ac:dyDescent="0.2">
      <c r="A2" t="s">
        <v>1</v>
      </c>
    </row>
    <row r="4" spans="1:17" x14ac:dyDescent="0.2">
      <c r="A4" s="1" t="s">
        <v>2</v>
      </c>
    </row>
    <row r="5" spans="1:17" ht="34" x14ac:dyDescent="0.2">
      <c r="A5" s="7" t="s">
        <v>3</v>
      </c>
      <c r="B5" s="3" t="s">
        <v>112</v>
      </c>
      <c r="D5" s="7" t="s">
        <v>5</v>
      </c>
      <c r="E5" s="3">
        <v>331</v>
      </c>
      <c r="G5" s="7" t="s">
        <v>6</v>
      </c>
      <c r="H5" s="6">
        <v>0.01</v>
      </c>
      <c r="J5" s="7" t="s">
        <v>7</v>
      </c>
      <c r="K5" s="6">
        <v>0.04</v>
      </c>
    </row>
    <row r="6" spans="1:17" ht="34" x14ac:dyDescent="0.2">
      <c r="A6" s="7" t="s">
        <v>8</v>
      </c>
      <c r="B6" s="5">
        <v>-55465374</v>
      </c>
      <c r="D6" s="7" t="s">
        <v>9</v>
      </c>
      <c r="E6" s="3">
        <v>19887</v>
      </c>
      <c r="G6" s="7" t="s">
        <v>10</v>
      </c>
      <c r="H6" s="3">
        <v>40</v>
      </c>
      <c r="J6" s="7" t="s">
        <v>11</v>
      </c>
      <c r="K6" s="3">
        <v>25</v>
      </c>
    </row>
    <row r="7" spans="1:17" ht="34" x14ac:dyDescent="0.2">
      <c r="A7" s="7" t="s">
        <v>12</v>
      </c>
      <c r="B7" s="6">
        <v>0.23</v>
      </c>
      <c r="D7" s="7" t="s">
        <v>13</v>
      </c>
      <c r="E7" s="4">
        <f>B8/E6</f>
        <v>-2267.5013828128926</v>
      </c>
      <c r="G7" s="7" t="s">
        <v>14</v>
      </c>
      <c r="H7" s="6">
        <v>0.4</v>
      </c>
      <c r="J7" s="7" t="s">
        <v>15</v>
      </c>
      <c r="K7" s="6">
        <v>0.06</v>
      </c>
    </row>
    <row r="8" spans="1:17" ht="34" x14ac:dyDescent="0.2">
      <c r="A8" s="7" t="s">
        <v>16</v>
      </c>
      <c r="B8" s="4">
        <f>B6/(1+$B$7)</f>
        <v>-45093800</v>
      </c>
      <c r="D8" s="7" t="s">
        <v>17</v>
      </c>
      <c r="E8" s="6">
        <v>1</v>
      </c>
      <c r="G8" s="7" t="s">
        <v>18</v>
      </c>
      <c r="H8" s="5">
        <v>1980</v>
      </c>
      <c r="J8" s="7" t="s">
        <v>19</v>
      </c>
      <c r="K8" s="3">
        <v>25</v>
      </c>
    </row>
    <row r="9" spans="1:17" ht="34" x14ac:dyDescent="0.2">
      <c r="A9" s="7" t="s">
        <v>89</v>
      </c>
      <c r="B9" s="3" t="s">
        <v>52</v>
      </c>
      <c r="D9" s="7" t="s">
        <v>20</v>
      </c>
      <c r="E9" s="3">
        <v>22097</v>
      </c>
      <c r="G9" s="7" t="s">
        <v>21</v>
      </c>
      <c r="H9" s="5">
        <v>2140</v>
      </c>
    </row>
    <row r="10" spans="1:17" x14ac:dyDescent="0.2">
      <c r="A10" s="7"/>
      <c r="D10" s="7"/>
      <c r="G10" s="7"/>
      <c r="M10" t="s">
        <v>88</v>
      </c>
      <c r="N10" s="4">
        <f>IF($B$9="BOB",N12,N11)</f>
        <v>17163012</v>
      </c>
    </row>
    <row r="11" spans="1:17" ht="51" x14ac:dyDescent="0.2">
      <c r="A11" s="7" t="s">
        <v>22</v>
      </c>
      <c r="B11" s="6">
        <v>0.05</v>
      </c>
      <c r="D11" s="7" t="s">
        <v>23</v>
      </c>
      <c r="E11" s="5">
        <v>7</v>
      </c>
      <c r="G11" s="7" t="s">
        <v>24</v>
      </c>
      <c r="H11" s="4">
        <f>MIN(H9,-$E$7)*$E$6*0.9</f>
        <v>38302362</v>
      </c>
      <c r="I11" s="20"/>
      <c r="J11" s="7" t="s">
        <v>25</v>
      </c>
      <c r="K11" s="3">
        <v>10</v>
      </c>
      <c r="M11" s="7" t="s">
        <v>26</v>
      </c>
      <c r="N11" s="4">
        <f>-B8*(1+$B$12)-H11</f>
        <v>17163012</v>
      </c>
      <c r="O11" s="20"/>
    </row>
    <row r="12" spans="1:17" ht="51" x14ac:dyDescent="0.2">
      <c r="A12" s="7" t="s">
        <v>27</v>
      </c>
      <c r="B12" s="6">
        <v>0.23</v>
      </c>
      <c r="D12" s="7" t="s">
        <v>28</v>
      </c>
      <c r="E12" s="5">
        <v>2.5</v>
      </c>
      <c r="G12" s="7" t="s">
        <v>29</v>
      </c>
      <c r="H12" s="4">
        <f>MIN(H8,-$E$7)*$E$6</f>
        <v>39376260</v>
      </c>
      <c r="I12" s="20"/>
      <c r="J12" s="7" t="s">
        <v>30</v>
      </c>
      <c r="K12" s="13">
        <v>0.05</v>
      </c>
      <c r="M12" s="7" t="s">
        <v>31</v>
      </c>
      <c r="N12" s="4">
        <f>MAX(N13-H12,0)</f>
        <v>0</v>
      </c>
      <c r="O12" s="20"/>
      <c r="P12" s="20"/>
      <c r="Q12" s="21"/>
    </row>
    <row r="13" spans="1:17" ht="34" x14ac:dyDescent="0.2">
      <c r="A13" s="7" t="s">
        <v>32</v>
      </c>
      <c r="B13" s="6">
        <v>0.02</v>
      </c>
      <c r="D13" s="7" t="s">
        <v>33</v>
      </c>
      <c r="E13" s="5">
        <v>1.5</v>
      </c>
      <c r="G13" s="7" t="s">
        <v>34</v>
      </c>
      <c r="H13" s="4">
        <f>(E11+E13)*E6*12</f>
        <v>2028474</v>
      </c>
      <c r="J13" s="7" t="s">
        <v>35</v>
      </c>
      <c r="K13" s="13">
        <v>7.0000000000000001E-3</v>
      </c>
      <c r="M13" s="7" t="s">
        <v>36</v>
      </c>
      <c r="N13" s="4">
        <f>MAX((-SUM(E44:AL44)+SUMIFS(E24:AL24,E18:AL18,"&gt;0"))*(1+B11)*(1+K14),0)</f>
        <v>0</v>
      </c>
      <c r="P13" s="23"/>
      <c r="Q13" s="21"/>
    </row>
    <row r="14" spans="1:17" ht="51" x14ac:dyDescent="0.2">
      <c r="A14" s="7" t="s">
        <v>37</v>
      </c>
      <c r="B14" s="3">
        <v>4</v>
      </c>
      <c r="D14" s="7" t="s">
        <v>38</v>
      </c>
      <c r="E14" s="5">
        <v>-11.3</v>
      </c>
      <c r="G14" s="7" t="s">
        <v>39</v>
      </c>
      <c r="H14" s="4">
        <f>(E9-E6)*E12*12</f>
        <v>66300</v>
      </c>
      <c r="J14" s="7" t="s">
        <v>40</v>
      </c>
      <c r="K14" s="13">
        <v>0.05</v>
      </c>
      <c r="M14" s="7" t="s">
        <v>41</v>
      </c>
      <c r="N14" s="4">
        <v>-1100</v>
      </c>
    </row>
    <row r="16" spans="1:17" ht="19" x14ac:dyDescent="0.25">
      <c r="A16" s="2" t="s">
        <v>42</v>
      </c>
    </row>
    <row r="17" spans="1:38" ht="19" x14ac:dyDescent="0.25">
      <c r="A17" s="2"/>
    </row>
    <row r="18" spans="1:38" s="14" customFormat="1" x14ac:dyDescent="0.2">
      <c r="A18" s="14" t="s">
        <v>43</v>
      </c>
      <c r="E18" s="14">
        <f>IF(E$19&lt;=ROUNDDOWN($B$14,0),(ROUNDDOWN($B$14,0)/$B$14)/ROUNDDOWN($B$14,0),IF(E$19=ROUNDUP($B$14,0),1-SUM($D$18:D18),0))</f>
        <v>0.25</v>
      </c>
      <c r="F18" s="14">
        <f>IF(F$19&lt;=ROUNDDOWN($B$14,0),(ROUNDDOWN($B$14,0)/$B$14)/ROUNDDOWN($B$14,0),IF(F$19=ROUNDUP($B$14,0),1-SUM($D$18:E18),0))</f>
        <v>0.25</v>
      </c>
      <c r="G18" s="14">
        <f>IF(G$19&lt;=ROUNDDOWN($B$14,0),(ROUNDDOWN($B$14,0)/$B$14)/ROUNDDOWN($B$14,0),IF(G$19=ROUNDUP($B$14,0),1-SUM($D$18:F18),0))</f>
        <v>0.25</v>
      </c>
      <c r="H18" s="14">
        <f>IF(H$19&lt;=ROUNDDOWN($B$14,0),(ROUNDDOWN($B$14,0)/$B$14)/ROUNDDOWN($B$14,0),IF(H$19=ROUNDUP($B$14,0),1-SUM($D$18:G18),0))</f>
        <v>0.25</v>
      </c>
      <c r="I18" s="14">
        <f>IF(I$19&lt;=ROUNDDOWN($B$14,0),(ROUNDDOWN($B$14,0)/$B$14)/ROUNDDOWN($B$14,0),IF(I$19=ROUNDUP($B$14,0),1-SUM($D$18:H18),0))</f>
        <v>0</v>
      </c>
      <c r="J18" s="14">
        <f>IF(J$19&lt;=ROUNDDOWN($B$14,0),(ROUNDDOWN($B$14,0)/$B$14)/ROUNDDOWN($B$14,0),IF(J$19=ROUNDUP($B$14,0),1-SUM($D$18:I18),0))</f>
        <v>0</v>
      </c>
      <c r="K18" s="14">
        <f>IF(K$19&lt;=ROUNDDOWN($B$14,0),(ROUNDDOWN($B$14,0)/$B$14)/ROUNDDOWN($B$14,0),IF(K$19=ROUNDUP($B$14,0),1-SUM($D$18:J18),0))</f>
        <v>0</v>
      </c>
      <c r="L18" s="14">
        <f>IF(L$19&lt;=ROUNDDOWN($B$14,0),(ROUNDDOWN($B$14,0)/$B$14)/ROUNDDOWN($B$14,0),IF(L$19=ROUNDUP($B$14,0),1-SUM($D$18:K18),0))</f>
        <v>0</v>
      </c>
      <c r="M18" s="14">
        <f>IF(M$19&lt;=ROUNDDOWN($B$14,0),(ROUNDDOWN($B$14,0)/$B$14)/ROUNDDOWN($B$14,0),IF(M$19=ROUNDUP($B$14,0),1-SUM($D$18:L18),0))</f>
        <v>0</v>
      </c>
    </row>
    <row r="19" spans="1:38" x14ac:dyDescent="0.2">
      <c r="A19" s="1" t="s">
        <v>44</v>
      </c>
      <c r="B19" s="1" t="s">
        <v>45</v>
      </c>
      <c r="C19" s="1" t="s">
        <v>46</v>
      </c>
      <c r="D19" s="1" t="s">
        <v>47</v>
      </c>
      <c r="E19" s="1">
        <v>1</v>
      </c>
      <c r="F19" s="1">
        <v>2</v>
      </c>
      <c r="G19" s="1">
        <v>3</v>
      </c>
      <c r="H19" s="1">
        <v>4</v>
      </c>
      <c r="I19" s="1">
        <v>5</v>
      </c>
      <c r="J19" s="1">
        <v>6</v>
      </c>
      <c r="K19" s="1">
        <v>7</v>
      </c>
      <c r="L19" s="1">
        <v>8</v>
      </c>
      <c r="M19" s="1">
        <v>9</v>
      </c>
      <c r="N19" s="1">
        <v>10</v>
      </c>
      <c r="O19" s="1">
        <v>11</v>
      </c>
      <c r="P19" s="1">
        <v>12</v>
      </c>
      <c r="Q19" s="1">
        <v>13</v>
      </c>
      <c r="R19" s="1">
        <v>14</v>
      </c>
      <c r="S19" s="1">
        <v>15</v>
      </c>
      <c r="T19" s="1">
        <v>16</v>
      </c>
      <c r="U19" s="1">
        <v>17</v>
      </c>
      <c r="V19" s="1">
        <v>18</v>
      </c>
      <c r="W19" s="1">
        <v>19</v>
      </c>
      <c r="X19" s="1">
        <v>20</v>
      </c>
      <c r="Y19" s="1">
        <v>21</v>
      </c>
      <c r="Z19" s="1">
        <v>22</v>
      </c>
      <c r="AA19" s="1">
        <v>23</v>
      </c>
      <c r="AB19" s="1">
        <v>24</v>
      </c>
      <c r="AC19" s="1">
        <v>25</v>
      </c>
      <c r="AD19" s="1">
        <v>26</v>
      </c>
      <c r="AE19" s="1">
        <v>27</v>
      </c>
      <c r="AF19" s="1">
        <v>28</v>
      </c>
      <c r="AG19" s="1">
        <v>29</v>
      </c>
      <c r="AH19" s="1">
        <v>30</v>
      </c>
      <c r="AI19" s="1">
        <v>31</v>
      </c>
      <c r="AJ19" s="1">
        <v>32</v>
      </c>
      <c r="AK19" s="1">
        <v>33</v>
      </c>
      <c r="AL19" s="1">
        <v>34</v>
      </c>
    </row>
    <row r="20" spans="1:38" x14ac:dyDescent="0.2">
      <c r="A20" s="8" t="s">
        <v>48</v>
      </c>
    </row>
    <row r="21" spans="1:38" x14ac:dyDescent="0.2">
      <c r="A21" t="s">
        <v>49</v>
      </c>
      <c r="B21" t="str">
        <f>$B$9</f>
        <v>HMBA</v>
      </c>
      <c r="C21" t="b">
        <f>B21="BOB"</f>
        <v>0</v>
      </c>
      <c r="D21" s="10">
        <f>E21+NPV($K$5,F21:AK21)</f>
        <v>-52346709.010497272</v>
      </c>
      <c r="E21" s="9">
        <f>IF($B21="BOB",$B$8,$B$6)*E$18</f>
        <v>-13866343.5</v>
      </c>
      <c r="F21" s="9">
        <f t="shared" ref="F21:AL21" si="0">IF($B21="BOB",$B$8,$B$6)*F$18</f>
        <v>-13866343.5</v>
      </c>
      <c r="G21" s="9">
        <f t="shared" si="0"/>
        <v>-13866343.5</v>
      </c>
      <c r="H21" s="9">
        <f t="shared" si="0"/>
        <v>-13866343.5</v>
      </c>
      <c r="I21" s="9">
        <f t="shared" si="0"/>
        <v>0</v>
      </c>
      <c r="J21" s="9">
        <f t="shared" si="0"/>
        <v>0</v>
      </c>
      <c r="K21" s="9">
        <f t="shared" si="0"/>
        <v>0</v>
      </c>
      <c r="L21" s="9">
        <f t="shared" si="0"/>
        <v>0</v>
      </c>
      <c r="M21" s="9">
        <f t="shared" si="0"/>
        <v>0</v>
      </c>
      <c r="N21" s="9">
        <f t="shared" si="0"/>
        <v>0</v>
      </c>
      <c r="O21" s="9">
        <f t="shared" si="0"/>
        <v>0</v>
      </c>
      <c r="P21" s="9">
        <f t="shared" si="0"/>
        <v>0</v>
      </c>
      <c r="Q21" s="9">
        <f t="shared" si="0"/>
        <v>0</v>
      </c>
      <c r="R21" s="9">
        <f t="shared" si="0"/>
        <v>0</v>
      </c>
      <c r="S21" s="9">
        <f t="shared" si="0"/>
        <v>0</v>
      </c>
      <c r="T21" s="9">
        <f t="shared" si="0"/>
        <v>0</v>
      </c>
      <c r="U21" s="9">
        <f t="shared" si="0"/>
        <v>0</v>
      </c>
      <c r="V21" s="9">
        <f t="shared" si="0"/>
        <v>0</v>
      </c>
      <c r="W21" s="9">
        <f t="shared" si="0"/>
        <v>0</v>
      </c>
      <c r="X21" s="9">
        <f t="shared" si="0"/>
        <v>0</v>
      </c>
      <c r="Y21" s="9">
        <f t="shared" si="0"/>
        <v>0</v>
      </c>
      <c r="Z21" s="9">
        <f t="shared" si="0"/>
        <v>0</v>
      </c>
      <c r="AA21" s="9">
        <f t="shared" si="0"/>
        <v>0</v>
      </c>
      <c r="AB21" s="9">
        <f t="shared" si="0"/>
        <v>0</v>
      </c>
      <c r="AC21" s="9">
        <f t="shared" si="0"/>
        <v>0</v>
      </c>
      <c r="AD21" s="9">
        <f t="shared" si="0"/>
        <v>0</v>
      </c>
      <c r="AE21" s="9">
        <f t="shared" si="0"/>
        <v>0</v>
      </c>
      <c r="AF21" s="9">
        <f t="shared" si="0"/>
        <v>0</v>
      </c>
      <c r="AG21" s="9">
        <f t="shared" si="0"/>
        <v>0</v>
      </c>
      <c r="AH21" s="9">
        <f t="shared" si="0"/>
        <v>0</v>
      </c>
      <c r="AI21" s="9">
        <f t="shared" si="0"/>
        <v>0</v>
      </c>
      <c r="AJ21" s="9">
        <f t="shared" si="0"/>
        <v>0</v>
      </c>
      <c r="AK21" s="9">
        <f t="shared" si="0"/>
        <v>0</v>
      </c>
      <c r="AL21" s="9">
        <f t="shared" si="0"/>
        <v>0</v>
      </c>
    </row>
    <row r="22" spans="1:38" x14ac:dyDescent="0.2">
      <c r="A22" t="s">
        <v>51</v>
      </c>
      <c r="B22" t="s">
        <v>52</v>
      </c>
      <c r="C22" t="b">
        <f>B22="BOB"</f>
        <v>0</v>
      </c>
      <c r="D22" s="10">
        <f>E22+NPV($K$5,F22:AK22)</f>
        <v>-2790741.4560646713</v>
      </c>
      <c r="E22" s="9">
        <f>IF(E$19&lt;($K$11+ROUNDUP($B$14,0)),0,IF(MOD(E$19-ROUNDUP($B$14,0),$K$11)=0,$B$6*$K$12*POWER(1+$B$13,E$19-ROUNDUP(E19,0)),0))</f>
        <v>0</v>
      </c>
      <c r="F22" s="9">
        <f t="shared" ref="F22:AL22" si="1">IF(F$19&lt;($K$11+ROUNDUP($B$14,0)),0,IF(MOD(F$19-ROUNDUP($B$14,0),$K$11)=0,$B$6*$K$12*POWER(1+$B$13,F$19-ROUNDUP(F19,0)),0))</f>
        <v>0</v>
      </c>
      <c r="G22" s="9">
        <f t="shared" si="1"/>
        <v>0</v>
      </c>
      <c r="H22" s="9">
        <f t="shared" si="1"/>
        <v>0</v>
      </c>
      <c r="I22" s="9">
        <f t="shared" si="1"/>
        <v>0</v>
      </c>
      <c r="J22" s="9">
        <f t="shared" si="1"/>
        <v>0</v>
      </c>
      <c r="K22" s="9">
        <f t="shared" si="1"/>
        <v>0</v>
      </c>
      <c r="L22" s="9">
        <f t="shared" si="1"/>
        <v>0</v>
      </c>
      <c r="M22" s="9">
        <f t="shared" si="1"/>
        <v>0</v>
      </c>
      <c r="N22" s="9">
        <f t="shared" si="1"/>
        <v>0</v>
      </c>
      <c r="O22" s="9">
        <f t="shared" si="1"/>
        <v>0</v>
      </c>
      <c r="P22" s="9">
        <f t="shared" si="1"/>
        <v>0</v>
      </c>
      <c r="Q22" s="9">
        <f t="shared" si="1"/>
        <v>0</v>
      </c>
      <c r="R22" s="9">
        <f t="shared" si="1"/>
        <v>-2773268.7</v>
      </c>
      <c r="S22" s="9">
        <f t="shared" si="1"/>
        <v>0</v>
      </c>
      <c r="T22" s="9">
        <f t="shared" si="1"/>
        <v>0</v>
      </c>
      <c r="U22" s="9">
        <f t="shared" si="1"/>
        <v>0</v>
      </c>
      <c r="V22" s="9">
        <f t="shared" si="1"/>
        <v>0</v>
      </c>
      <c r="W22" s="9">
        <f t="shared" si="1"/>
        <v>0</v>
      </c>
      <c r="X22" s="9">
        <f t="shared" si="1"/>
        <v>0</v>
      </c>
      <c r="Y22" s="9">
        <f t="shared" si="1"/>
        <v>0</v>
      </c>
      <c r="Z22" s="9">
        <f t="shared" si="1"/>
        <v>0</v>
      </c>
      <c r="AA22" s="9">
        <f t="shared" si="1"/>
        <v>0</v>
      </c>
      <c r="AB22" s="9">
        <f t="shared" si="1"/>
        <v>-2773268.7</v>
      </c>
      <c r="AC22" s="9">
        <f t="shared" si="1"/>
        <v>0</v>
      </c>
      <c r="AD22" s="9">
        <f t="shared" si="1"/>
        <v>0</v>
      </c>
      <c r="AE22" s="9">
        <f t="shared" si="1"/>
        <v>0</v>
      </c>
      <c r="AF22" s="9">
        <f t="shared" si="1"/>
        <v>0</v>
      </c>
      <c r="AG22" s="9">
        <f t="shared" si="1"/>
        <v>0</v>
      </c>
      <c r="AH22" s="9">
        <f t="shared" si="1"/>
        <v>0</v>
      </c>
      <c r="AI22" s="9">
        <f t="shared" si="1"/>
        <v>0</v>
      </c>
      <c r="AJ22" s="9">
        <f t="shared" si="1"/>
        <v>0</v>
      </c>
      <c r="AK22" s="9">
        <f t="shared" si="1"/>
        <v>0</v>
      </c>
      <c r="AL22" s="9">
        <f t="shared" si="1"/>
        <v>-2773268.7</v>
      </c>
    </row>
    <row r="23" spans="1:38" x14ac:dyDescent="0.2">
      <c r="D23" s="10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</row>
    <row r="24" spans="1:38" s="16" customFormat="1" x14ac:dyDescent="0.2">
      <c r="A24" s="15" t="s">
        <v>53</v>
      </c>
      <c r="B24" s="15" t="s">
        <v>50</v>
      </c>
      <c r="D24" s="17">
        <f>E24+NPV($K$5,F24:AK24)</f>
        <v>0</v>
      </c>
      <c r="E24" s="18">
        <f t="shared" ref="E24:AL24" si="2">SUMIFS(E$21:E$23,$C$21:$C$23,TRUE)*$B$12</f>
        <v>0</v>
      </c>
      <c r="F24" s="18">
        <f t="shared" si="2"/>
        <v>0</v>
      </c>
      <c r="G24" s="18">
        <f t="shared" si="2"/>
        <v>0</v>
      </c>
      <c r="H24" s="18">
        <f t="shared" si="2"/>
        <v>0</v>
      </c>
      <c r="I24" s="18">
        <f t="shared" si="2"/>
        <v>0</v>
      </c>
      <c r="J24" s="18">
        <f t="shared" si="2"/>
        <v>0</v>
      </c>
      <c r="K24" s="18">
        <f t="shared" si="2"/>
        <v>0</v>
      </c>
      <c r="L24" s="18">
        <f t="shared" si="2"/>
        <v>0</v>
      </c>
      <c r="M24" s="18">
        <f t="shared" si="2"/>
        <v>0</v>
      </c>
      <c r="N24" s="18">
        <f t="shared" si="2"/>
        <v>0</v>
      </c>
      <c r="O24" s="18">
        <f t="shared" si="2"/>
        <v>0</v>
      </c>
      <c r="P24" s="18">
        <f t="shared" si="2"/>
        <v>0</v>
      </c>
      <c r="Q24" s="18">
        <f t="shared" si="2"/>
        <v>0</v>
      </c>
      <c r="R24" s="18">
        <f t="shared" si="2"/>
        <v>0</v>
      </c>
      <c r="S24" s="18">
        <f t="shared" si="2"/>
        <v>0</v>
      </c>
      <c r="T24" s="18">
        <f t="shared" si="2"/>
        <v>0</v>
      </c>
      <c r="U24" s="18">
        <f t="shared" si="2"/>
        <v>0</v>
      </c>
      <c r="V24" s="18">
        <f t="shared" si="2"/>
        <v>0</v>
      </c>
      <c r="W24" s="18">
        <f t="shared" si="2"/>
        <v>0</v>
      </c>
      <c r="X24" s="18">
        <f t="shared" si="2"/>
        <v>0</v>
      </c>
      <c r="Y24" s="18">
        <f t="shared" si="2"/>
        <v>0</v>
      </c>
      <c r="Z24" s="18">
        <f t="shared" si="2"/>
        <v>0</v>
      </c>
      <c r="AA24" s="18">
        <f t="shared" si="2"/>
        <v>0</v>
      </c>
      <c r="AB24" s="18">
        <f t="shared" si="2"/>
        <v>0</v>
      </c>
      <c r="AC24" s="18">
        <f t="shared" si="2"/>
        <v>0</v>
      </c>
      <c r="AD24" s="18">
        <f t="shared" si="2"/>
        <v>0</v>
      </c>
      <c r="AE24" s="18">
        <f t="shared" si="2"/>
        <v>0</v>
      </c>
      <c r="AF24" s="18">
        <f t="shared" si="2"/>
        <v>0</v>
      </c>
      <c r="AG24" s="18">
        <f t="shared" si="2"/>
        <v>0</v>
      </c>
      <c r="AH24" s="18">
        <f t="shared" si="2"/>
        <v>0</v>
      </c>
      <c r="AI24" s="18">
        <f t="shared" si="2"/>
        <v>0</v>
      </c>
      <c r="AJ24" s="18">
        <f t="shared" si="2"/>
        <v>0</v>
      </c>
      <c r="AK24" s="18">
        <f t="shared" si="2"/>
        <v>0</v>
      </c>
      <c r="AL24" s="18">
        <f t="shared" si="2"/>
        <v>0</v>
      </c>
    </row>
    <row r="26" spans="1:38" x14ac:dyDescent="0.2">
      <c r="A26" s="8" t="s">
        <v>54</v>
      </c>
    </row>
    <row r="27" spans="1:38" x14ac:dyDescent="0.2">
      <c r="A27" t="s">
        <v>55</v>
      </c>
      <c r="B27" t="s">
        <v>52</v>
      </c>
      <c r="C27" t="b">
        <v>0</v>
      </c>
      <c r="D27" s="10">
        <f>E27+NPV($K$5,F27:AK27)</f>
        <v>39599188.26322934</v>
      </c>
      <c r="E27" s="9">
        <f t="shared" ref="E27:F27" si="3">IF(E19&gt;$B$14,$H$13*POWER(1+$B$13,E$19-$B$14),0)*(1-(($B$14-ROUNDDOWN($B$14,0))*IF(E$19=ROUNDUP($B$14,0),1,0)))</f>
        <v>0</v>
      </c>
      <c r="F27" s="9">
        <f t="shared" si="3"/>
        <v>0</v>
      </c>
      <c r="G27" s="9">
        <f>IF(G19&gt;$B$14,$H$13*POWER(1+$B$13,G$19-$B$14),0)*(1-(($B$14-ROUNDDOWN($B$14,0))*IF(G$19=ROUNDUP($B$14,0),1,0)))</f>
        <v>0</v>
      </c>
      <c r="H27" s="9">
        <f t="shared" ref="H27:AL27" si="4">IF(H19&gt;$B$14,$H$13*POWER(1+$B$13,H$19-$B$14),0)*(1-(($B$14-ROUNDDOWN($B$14,0))*IF(H$19=ROUNDUP($B$14,0),1,0)))</f>
        <v>0</v>
      </c>
      <c r="I27" s="9">
        <f t="shared" si="4"/>
        <v>2069043.48</v>
      </c>
      <c r="J27" s="9">
        <f t="shared" si="4"/>
        <v>2110424.3495999998</v>
      </c>
      <c r="K27" s="9">
        <f t="shared" si="4"/>
        <v>2152632.836592</v>
      </c>
      <c r="L27" s="9">
        <f t="shared" si="4"/>
        <v>2195685.4933238397</v>
      </c>
      <c r="M27" s="9">
        <f t="shared" si="4"/>
        <v>2239599.2031903169</v>
      </c>
      <c r="N27" s="9">
        <f t="shared" si="4"/>
        <v>2284391.1872541234</v>
      </c>
      <c r="O27" s="9">
        <f t="shared" si="4"/>
        <v>2330079.0109992051</v>
      </c>
      <c r="P27" s="9">
        <f t="shared" si="4"/>
        <v>2376680.5912191896</v>
      </c>
      <c r="Q27" s="9">
        <f t="shared" si="4"/>
        <v>2424214.2030435735</v>
      </c>
      <c r="R27" s="9">
        <f t="shared" si="4"/>
        <v>2472698.4871044448</v>
      </c>
      <c r="S27" s="9">
        <f t="shared" si="4"/>
        <v>2522152.4568465333</v>
      </c>
      <c r="T27" s="9">
        <f t="shared" si="4"/>
        <v>2572595.5059834644</v>
      </c>
      <c r="U27" s="9">
        <f t="shared" si="4"/>
        <v>2624047.4161031335</v>
      </c>
      <c r="V27" s="9">
        <f t="shared" si="4"/>
        <v>2676528.3644251963</v>
      </c>
      <c r="W27" s="9">
        <f t="shared" si="4"/>
        <v>2730058.9317136998</v>
      </c>
      <c r="X27" s="9">
        <f t="shared" si="4"/>
        <v>2784660.1103479741</v>
      </c>
      <c r="Y27" s="9">
        <f t="shared" si="4"/>
        <v>2840353.3125549341</v>
      </c>
      <c r="Z27" s="9">
        <f t="shared" si="4"/>
        <v>2897160.3788060322</v>
      </c>
      <c r="AA27" s="9">
        <f t="shared" si="4"/>
        <v>2955103.586382153</v>
      </c>
      <c r="AB27" s="9">
        <f t="shared" si="4"/>
        <v>3014205.6581097962</v>
      </c>
      <c r="AC27" s="9">
        <f t="shared" si="4"/>
        <v>3074489.771271992</v>
      </c>
      <c r="AD27" s="9">
        <f t="shared" si="4"/>
        <v>3135979.5666974317</v>
      </c>
      <c r="AE27" s="9">
        <f t="shared" si="4"/>
        <v>3198699.1580313798</v>
      </c>
      <c r="AF27" s="9">
        <f t="shared" si="4"/>
        <v>3262673.1411920078</v>
      </c>
      <c r="AG27" s="9">
        <f t="shared" si="4"/>
        <v>3327926.6040158477</v>
      </c>
      <c r="AH27" s="9">
        <f t="shared" si="4"/>
        <v>3394485.136096165</v>
      </c>
      <c r="AI27" s="9">
        <f t="shared" si="4"/>
        <v>3462374.8388180877</v>
      </c>
      <c r="AJ27" s="9">
        <f t="shared" si="4"/>
        <v>3531622.3355944501</v>
      </c>
      <c r="AK27" s="9">
        <f t="shared" si="4"/>
        <v>3602254.7823063387</v>
      </c>
      <c r="AL27" s="9">
        <f t="shared" si="4"/>
        <v>3674299.8779524658</v>
      </c>
    </row>
    <row r="28" spans="1:38" x14ac:dyDescent="0.2">
      <c r="A28" t="s">
        <v>56</v>
      </c>
      <c r="B28" t="s">
        <v>52</v>
      </c>
      <c r="C28" t="b">
        <v>0</v>
      </c>
      <c r="D28" s="10">
        <f>E28+NPV($K$5,F28:AK28)</f>
        <v>1294286.3363553614</v>
      </c>
      <c r="E28" s="9">
        <f>IF(E19&gt;$B$14,$H$14*POWER(1+$B$13,E$19-$B$14),0)*(1-(($B$14-ROUNDDOWN($B$14,0))*IF(E$19=ROUNDUP($B$14,0),1,0)))</f>
        <v>0</v>
      </c>
      <c r="F28" s="9">
        <f t="shared" ref="F28:AL28" si="5">IF(F19&gt;$B$14,$H$14*POWER(1+$B$13,F$19-$B$14),0)*(1-(($B$14-ROUNDDOWN($B$14,0))*IF(F$19=ROUNDUP($B$14,0),1,0)))</f>
        <v>0</v>
      </c>
      <c r="G28" s="9">
        <f t="shared" si="5"/>
        <v>0</v>
      </c>
      <c r="H28" s="9">
        <f t="shared" si="5"/>
        <v>0</v>
      </c>
      <c r="I28" s="9">
        <f t="shared" si="5"/>
        <v>67626</v>
      </c>
      <c r="J28" s="9">
        <f t="shared" si="5"/>
        <v>68978.52</v>
      </c>
      <c r="K28" s="9">
        <f t="shared" si="5"/>
        <v>70358.090400000001</v>
      </c>
      <c r="L28" s="9">
        <f t="shared" si="5"/>
        <v>71765.252208000005</v>
      </c>
      <c r="M28" s="9">
        <f t="shared" si="5"/>
        <v>73200.557252159997</v>
      </c>
      <c r="N28" s="9">
        <f t="shared" si="5"/>
        <v>74664.568397203198</v>
      </c>
      <c r="O28" s="9">
        <f t="shared" si="5"/>
        <v>76157.859765147252</v>
      </c>
      <c r="P28" s="9">
        <f t="shared" si="5"/>
        <v>77681.016960450201</v>
      </c>
      <c r="Q28" s="9">
        <f t="shared" si="5"/>
        <v>79234.637299659211</v>
      </c>
      <c r="R28" s="9">
        <f t="shared" si="5"/>
        <v>80819.330045652401</v>
      </c>
      <c r="S28" s="9">
        <f t="shared" si="5"/>
        <v>82435.71664656543</v>
      </c>
      <c r="T28" s="9">
        <f t="shared" si="5"/>
        <v>84084.430979496756</v>
      </c>
      <c r="U28" s="9">
        <f t="shared" si="5"/>
        <v>85766.119599086684</v>
      </c>
      <c r="V28" s="9">
        <f t="shared" si="5"/>
        <v>87481.441991068423</v>
      </c>
      <c r="W28" s="9">
        <f t="shared" si="5"/>
        <v>89231.070830889774</v>
      </c>
      <c r="X28" s="9">
        <f t="shared" si="5"/>
        <v>91015.692247507584</v>
      </c>
      <c r="Y28" s="9">
        <f t="shared" si="5"/>
        <v>92836.006092457741</v>
      </c>
      <c r="Z28" s="9">
        <f t="shared" si="5"/>
        <v>94692.72621430688</v>
      </c>
      <c r="AA28" s="9">
        <f t="shared" si="5"/>
        <v>96586.580738593009</v>
      </c>
      <c r="AB28" s="9">
        <f t="shared" si="5"/>
        <v>98518.31235336489</v>
      </c>
      <c r="AC28" s="9">
        <f t="shared" si="5"/>
        <v>100488.67860043218</v>
      </c>
      <c r="AD28" s="9">
        <f t="shared" si="5"/>
        <v>102498.45217244083</v>
      </c>
      <c r="AE28" s="9">
        <f t="shared" si="5"/>
        <v>104548.42121588963</v>
      </c>
      <c r="AF28" s="9">
        <f t="shared" si="5"/>
        <v>106639.38964020742</v>
      </c>
      <c r="AG28" s="9">
        <f t="shared" si="5"/>
        <v>108772.17743301157</v>
      </c>
      <c r="AH28" s="9">
        <f t="shared" si="5"/>
        <v>110947.62098167182</v>
      </c>
      <c r="AI28" s="9">
        <f t="shared" si="5"/>
        <v>113166.57340130523</v>
      </c>
      <c r="AJ28" s="9">
        <f t="shared" si="5"/>
        <v>115429.90486933135</v>
      </c>
      <c r="AK28" s="9">
        <f t="shared" si="5"/>
        <v>117738.50296671796</v>
      </c>
      <c r="AL28" s="9">
        <f t="shared" si="5"/>
        <v>120093.27302605234</v>
      </c>
    </row>
    <row r="29" spans="1:38" x14ac:dyDescent="0.2">
      <c r="A29" t="s">
        <v>57</v>
      </c>
      <c r="C29" t="b">
        <v>0</v>
      </c>
      <c r="D29" s="10">
        <f>E29+NPV($K$5,F29:AK29)</f>
        <v>-7579434.8410751056</v>
      </c>
      <c r="E29" s="9">
        <f>IF(E27&gt;0,$B$6*$K$13*POWER(1+$B$13,E$19-$B$14),0)</f>
        <v>0</v>
      </c>
      <c r="F29" s="9">
        <f t="shared" ref="F29:AL29" si="6">IF(F27&gt;0,$B$6*$K$13*POWER(1+$B$13,F$19-$B$14),0)</f>
        <v>0</v>
      </c>
      <c r="G29" s="9">
        <f t="shared" si="6"/>
        <v>0</v>
      </c>
      <c r="H29" s="9">
        <f t="shared" si="6"/>
        <v>0</v>
      </c>
      <c r="I29" s="9">
        <f t="shared" si="6"/>
        <v>-396022.77036000002</v>
      </c>
      <c r="J29" s="9">
        <f t="shared" si="6"/>
        <v>-403943.2257672</v>
      </c>
      <c r="K29" s="9">
        <f t="shared" si="6"/>
        <v>-412022.09028254397</v>
      </c>
      <c r="L29" s="9">
        <f t="shared" si="6"/>
        <v>-420262.53208819492</v>
      </c>
      <c r="M29" s="9">
        <f t="shared" si="6"/>
        <v>-428667.78272995882</v>
      </c>
      <c r="N29" s="9">
        <f t="shared" si="6"/>
        <v>-437241.13838455803</v>
      </c>
      <c r="O29" s="9">
        <f t="shared" si="6"/>
        <v>-445985.96115224907</v>
      </c>
      <c r="P29" s="9">
        <f t="shared" si="6"/>
        <v>-454905.68037529406</v>
      </c>
      <c r="Q29" s="9">
        <f t="shared" si="6"/>
        <v>-464003.79398279998</v>
      </c>
      <c r="R29" s="9">
        <f t="shared" si="6"/>
        <v>-473283.86986245599</v>
      </c>
      <c r="S29" s="9">
        <f t="shared" si="6"/>
        <v>-482749.54725970502</v>
      </c>
      <c r="T29" s="9">
        <f t="shared" si="6"/>
        <v>-492404.53820489917</v>
      </c>
      <c r="U29" s="9">
        <f t="shared" si="6"/>
        <v>-502252.62896899716</v>
      </c>
      <c r="V29" s="9">
        <f t="shared" si="6"/>
        <v>-512297.68154837715</v>
      </c>
      <c r="W29" s="9">
        <f t="shared" si="6"/>
        <v>-522543.63517934456</v>
      </c>
      <c r="X29" s="9">
        <f t="shared" si="6"/>
        <v>-532994.5078829315</v>
      </c>
      <c r="Y29" s="9">
        <f t="shared" si="6"/>
        <v>-543654.39804059023</v>
      </c>
      <c r="Z29" s="9">
        <f t="shared" si="6"/>
        <v>-554527.48600140191</v>
      </c>
      <c r="AA29" s="9">
        <f t="shared" si="6"/>
        <v>-565618.03572142997</v>
      </c>
      <c r="AB29" s="9">
        <f t="shared" si="6"/>
        <v>-576930.39643585857</v>
      </c>
      <c r="AC29" s="9">
        <f t="shared" si="6"/>
        <v>-588469.00436457573</v>
      </c>
      <c r="AD29" s="9">
        <f t="shared" si="6"/>
        <v>-600238.38445186731</v>
      </c>
      <c r="AE29" s="9">
        <f t="shared" si="6"/>
        <v>-612243.15214090457</v>
      </c>
      <c r="AF29" s="9">
        <f t="shared" si="6"/>
        <v>-624488.0151837226</v>
      </c>
      <c r="AG29" s="9">
        <f t="shared" si="6"/>
        <v>-636977.7754873971</v>
      </c>
      <c r="AH29" s="9">
        <f t="shared" si="6"/>
        <v>-649717.33099714515</v>
      </c>
      <c r="AI29" s="9">
        <f t="shared" si="6"/>
        <v>-662711.67761708784</v>
      </c>
      <c r="AJ29" s="9">
        <f t="shared" si="6"/>
        <v>-675965.91116942978</v>
      </c>
      <c r="AK29" s="9">
        <f t="shared" si="6"/>
        <v>-689485.22939281829</v>
      </c>
      <c r="AL29" s="9">
        <f t="shared" si="6"/>
        <v>-703274.93398067472</v>
      </c>
    </row>
    <row r="30" spans="1:38" x14ac:dyDescent="0.2">
      <c r="A30" t="s">
        <v>58</v>
      </c>
      <c r="C30" t="b">
        <v>0</v>
      </c>
      <c r="D30" s="10">
        <f>E30+NPV($K$5,F30:AK30)</f>
        <v>2790741.4560646713</v>
      </c>
      <c r="E30" s="9">
        <f>-E22</f>
        <v>0</v>
      </c>
      <c r="F30" s="9">
        <f t="shared" ref="F30:AL30" si="7">-F22</f>
        <v>0</v>
      </c>
      <c r="G30" s="9">
        <f t="shared" si="7"/>
        <v>0</v>
      </c>
      <c r="H30" s="9">
        <f t="shared" si="7"/>
        <v>0</v>
      </c>
      <c r="I30" s="9">
        <f t="shared" si="7"/>
        <v>0</v>
      </c>
      <c r="J30" s="9">
        <f t="shared" si="7"/>
        <v>0</v>
      </c>
      <c r="K30" s="9">
        <f t="shared" si="7"/>
        <v>0</v>
      </c>
      <c r="L30" s="9">
        <f t="shared" si="7"/>
        <v>0</v>
      </c>
      <c r="M30" s="9">
        <f t="shared" si="7"/>
        <v>0</v>
      </c>
      <c r="N30" s="9">
        <f t="shared" si="7"/>
        <v>0</v>
      </c>
      <c r="O30" s="9">
        <f t="shared" si="7"/>
        <v>0</v>
      </c>
      <c r="P30" s="9">
        <f t="shared" si="7"/>
        <v>0</v>
      </c>
      <c r="Q30" s="9">
        <f t="shared" si="7"/>
        <v>0</v>
      </c>
      <c r="R30" s="9">
        <f t="shared" si="7"/>
        <v>2773268.7</v>
      </c>
      <c r="S30" s="9">
        <f t="shared" si="7"/>
        <v>0</v>
      </c>
      <c r="T30" s="9">
        <f t="shared" si="7"/>
        <v>0</v>
      </c>
      <c r="U30" s="9">
        <f t="shared" si="7"/>
        <v>0</v>
      </c>
      <c r="V30" s="9">
        <f t="shared" si="7"/>
        <v>0</v>
      </c>
      <c r="W30" s="9">
        <f t="shared" si="7"/>
        <v>0</v>
      </c>
      <c r="X30" s="9">
        <f t="shared" si="7"/>
        <v>0</v>
      </c>
      <c r="Y30" s="9">
        <f t="shared" si="7"/>
        <v>0</v>
      </c>
      <c r="Z30" s="9">
        <f t="shared" si="7"/>
        <v>0</v>
      </c>
      <c r="AA30" s="9">
        <f t="shared" si="7"/>
        <v>0</v>
      </c>
      <c r="AB30" s="9">
        <f t="shared" si="7"/>
        <v>2773268.7</v>
      </c>
      <c r="AC30" s="9">
        <f t="shared" si="7"/>
        <v>0</v>
      </c>
      <c r="AD30" s="9">
        <f t="shared" si="7"/>
        <v>0</v>
      </c>
      <c r="AE30" s="9">
        <f t="shared" si="7"/>
        <v>0</v>
      </c>
      <c r="AF30" s="9">
        <f t="shared" si="7"/>
        <v>0</v>
      </c>
      <c r="AG30" s="9">
        <f t="shared" si="7"/>
        <v>0</v>
      </c>
      <c r="AH30" s="9">
        <f t="shared" si="7"/>
        <v>0</v>
      </c>
      <c r="AI30" s="9">
        <f t="shared" si="7"/>
        <v>0</v>
      </c>
      <c r="AJ30" s="9">
        <f t="shared" si="7"/>
        <v>0</v>
      </c>
      <c r="AK30" s="9">
        <f t="shared" si="7"/>
        <v>0</v>
      </c>
      <c r="AL30" s="9">
        <f t="shared" si="7"/>
        <v>2773268.7</v>
      </c>
    </row>
    <row r="31" spans="1:38" s="16" customFormat="1" x14ac:dyDescent="0.2">
      <c r="A31" s="15" t="s">
        <v>59</v>
      </c>
      <c r="E31" s="18">
        <v>0</v>
      </c>
      <c r="F31" s="18">
        <f>E31-F29-F30</f>
        <v>0</v>
      </c>
      <c r="G31" s="18">
        <f t="shared" ref="G31:AL31" si="8">F31-G29-G30</f>
        <v>0</v>
      </c>
      <c r="H31" s="18">
        <f t="shared" si="8"/>
        <v>0</v>
      </c>
      <c r="I31" s="18">
        <f t="shared" si="8"/>
        <v>396022.77036000002</v>
      </c>
      <c r="J31" s="18">
        <f t="shared" si="8"/>
        <v>799965.99612720008</v>
      </c>
      <c r="K31" s="18">
        <f t="shared" si="8"/>
        <v>1211988.0864097441</v>
      </c>
      <c r="L31" s="18">
        <f t="shared" si="8"/>
        <v>1632250.6184979391</v>
      </c>
      <c r="M31" s="18">
        <f t="shared" si="8"/>
        <v>2060918.401227898</v>
      </c>
      <c r="N31" s="18">
        <f t="shared" si="8"/>
        <v>2498159.5396124562</v>
      </c>
      <c r="O31" s="18">
        <f t="shared" si="8"/>
        <v>2944145.5007647052</v>
      </c>
      <c r="P31" s="18">
        <f t="shared" si="8"/>
        <v>3399051.1811399991</v>
      </c>
      <c r="Q31" s="18">
        <f t="shared" si="8"/>
        <v>3863054.9751227992</v>
      </c>
      <c r="R31" s="18">
        <f t="shared" si="8"/>
        <v>1563070.1449852549</v>
      </c>
      <c r="S31" s="18">
        <f t="shared" si="8"/>
        <v>2045819.69224496</v>
      </c>
      <c r="T31" s="18">
        <f t="shared" si="8"/>
        <v>2538224.2304498591</v>
      </c>
      <c r="U31" s="18">
        <f t="shared" si="8"/>
        <v>3040476.859418856</v>
      </c>
      <c r="V31" s="18">
        <f t="shared" si="8"/>
        <v>3552774.540967233</v>
      </c>
      <c r="W31" s="18">
        <f t="shared" si="8"/>
        <v>4075318.1761465776</v>
      </c>
      <c r="X31" s="18">
        <f t="shared" si="8"/>
        <v>4608312.6840295093</v>
      </c>
      <c r="Y31" s="18">
        <f t="shared" si="8"/>
        <v>5151967.0820700992</v>
      </c>
      <c r="Z31" s="18">
        <f t="shared" si="8"/>
        <v>5706494.5680715013</v>
      </c>
      <c r="AA31" s="18">
        <f t="shared" si="8"/>
        <v>6272112.603792931</v>
      </c>
      <c r="AB31" s="18">
        <f t="shared" si="8"/>
        <v>4075774.3002287894</v>
      </c>
      <c r="AC31" s="18">
        <f t="shared" si="8"/>
        <v>4664243.3045933656</v>
      </c>
      <c r="AD31" s="18">
        <f t="shared" si="8"/>
        <v>5264481.6890452327</v>
      </c>
      <c r="AE31" s="18">
        <f t="shared" si="8"/>
        <v>5876724.8411861369</v>
      </c>
      <c r="AF31" s="18">
        <f t="shared" si="8"/>
        <v>6501212.8563698595</v>
      </c>
      <c r="AG31" s="18">
        <f t="shared" si="8"/>
        <v>7138190.6318572564</v>
      </c>
      <c r="AH31" s="18">
        <f t="shared" si="8"/>
        <v>7787907.9628544012</v>
      </c>
      <c r="AI31" s="18">
        <f t="shared" si="8"/>
        <v>8450619.6404714882</v>
      </c>
      <c r="AJ31" s="18">
        <f t="shared" si="8"/>
        <v>9126585.5516409185</v>
      </c>
      <c r="AK31" s="18">
        <f t="shared" si="8"/>
        <v>9816070.7810337376</v>
      </c>
      <c r="AL31" s="18">
        <f t="shared" si="8"/>
        <v>7746077.0150144128</v>
      </c>
    </row>
    <row r="33" spans="1:38" x14ac:dyDescent="0.2">
      <c r="A33" s="8" t="s">
        <v>60</v>
      </c>
    </row>
    <row r="34" spans="1:38" x14ac:dyDescent="0.2">
      <c r="A34" t="s">
        <v>61</v>
      </c>
      <c r="B34" t="s">
        <v>50</v>
      </c>
      <c r="C34" t="b">
        <v>0</v>
      </c>
      <c r="D34" s="10">
        <f t="shared" ref="D34:D40" si="9">E34+NPV($K$5,F34:AK34)</f>
        <v>0</v>
      </c>
      <c r="E34" s="9">
        <f>IF($B$21="BOB",IF(E18&gt;0,-E21-E24,0),0)</f>
        <v>0</v>
      </c>
      <c r="F34" s="9">
        <f t="shared" ref="F34:AL34" si="10">IF($B$21="BOB",IF(F18&gt;0,-F21-F24,0),0)</f>
        <v>0</v>
      </c>
      <c r="G34" s="9">
        <f t="shared" si="10"/>
        <v>0</v>
      </c>
      <c r="H34" s="9">
        <f t="shared" si="10"/>
        <v>0</v>
      </c>
      <c r="I34" s="9">
        <f t="shared" si="10"/>
        <v>0</v>
      </c>
      <c r="J34" s="9">
        <f t="shared" si="10"/>
        <v>0</v>
      </c>
      <c r="K34" s="9">
        <f t="shared" si="10"/>
        <v>0</v>
      </c>
      <c r="L34" s="9">
        <f t="shared" si="10"/>
        <v>0</v>
      </c>
      <c r="M34" s="9">
        <f t="shared" si="10"/>
        <v>0</v>
      </c>
      <c r="N34" s="9">
        <f t="shared" si="10"/>
        <v>0</v>
      </c>
      <c r="O34" s="9">
        <f t="shared" si="10"/>
        <v>0</v>
      </c>
      <c r="P34" s="9">
        <f t="shared" si="10"/>
        <v>0</v>
      </c>
      <c r="Q34" s="9">
        <f t="shared" si="10"/>
        <v>0</v>
      </c>
      <c r="R34" s="9">
        <f t="shared" si="10"/>
        <v>0</v>
      </c>
      <c r="S34" s="9">
        <f t="shared" si="10"/>
        <v>0</v>
      </c>
      <c r="T34" s="9">
        <f t="shared" si="10"/>
        <v>0</v>
      </c>
      <c r="U34" s="9">
        <f t="shared" si="10"/>
        <v>0</v>
      </c>
      <c r="V34" s="9">
        <f t="shared" si="10"/>
        <v>0</v>
      </c>
      <c r="W34" s="9">
        <f t="shared" si="10"/>
        <v>0</v>
      </c>
      <c r="X34" s="9">
        <f t="shared" si="10"/>
        <v>0</v>
      </c>
      <c r="Y34" s="9">
        <f t="shared" si="10"/>
        <v>0</v>
      </c>
      <c r="Z34" s="9">
        <f t="shared" si="10"/>
        <v>0</v>
      </c>
      <c r="AA34" s="9">
        <f t="shared" si="10"/>
        <v>0</v>
      </c>
      <c r="AB34" s="9">
        <f t="shared" si="10"/>
        <v>0</v>
      </c>
      <c r="AC34" s="9">
        <f t="shared" si="10"/>
        <v>0</v>
      </c>
      <c r="AD34" s="9">
        <f t="shared" si="10"/>
        <v>0</v>
      </c>
      <c r="AE34" s="9">
        <f t="shared" si="10"/>
        <v>0</v>
      </c>
      <c r="AF34" s="9">
        <f t="shared" si="10"/>
        <v>0</v>
      </c>
      <c r="AG34" s="9">
        <f t="shared" si="10"/>
        <v>0</v>
      </c>
      <c r="AH34" s="9">
        <f t="shared" si="10"/>
        <v>0</v>
      </c>
      <c r="AI34" s="9">
        <f t="shared" si="10"/>
        <v>0</v>
      </c>
      <c r="AJ34" s="9">
        <f t="shared" si="10"/>
        <v>0</v>
      </c>
      <c r="AK34" s="9">
        <f t="shared" si="10"/>
        <v>0</v>
      </c>
      <c r="AL34" s="9">
        <f t="shared" si="10"/>
        <v>0</v>
      </c>
    </row>
    <row r="35" spans="1:38" x14ac:dyDescent="0.2">
      <c r="A35" t="s">
        <v>62</v>
      </c>
      <c r="B35" t="s">
        <v>52</v>
      </c>
      <c r="C35" t="b">
        <v>0</v>
      </c>
      <c r="D35" s="10">
        <f t="shared" si="9"/>
        <v>13620264.138598088</v>
      </c>
      <c r="E35" s="26">
        <f>IF(E$19=ROUNDUP($B$14,0),IF($B$21="BOB",$H$12,$H$11)*$H$7,0)</f>
        <v>0</v>
      </c>
      <c r="F35" s="26">
        <f t="shared" ref="F35:AL35" si="11">IF(F$19=ROUNDUP($B$14,0),IF($B$21="BOB",$H$12,$H$11)*$H$7,0)</f>
        <v>0</v>
      </c>
      <c r="G35" s="26">
        <f t="shared" si="11"/>
        <v>0</v>
      </c>
      <c r="H35" s="26">
        <f t="shared" si="11"/>
        <v>15320944.800000001</v>
      </c>
      <c r="I35" s="26">
        <f t="shared" si="11"/>
        <v>0</v>
      </c>
      <c r="J35" s="26">
        <f t="shared" si="11"/>
        <v>0</v>
      </c>
      <c r="K35" s="26">
        <f t="shared" si="11"/>
        <v>0</v>
      </c>
      <c r="L35" s="26">
        <f t="shared" si="11"/>
        <v>0</v>
      </c>
      <c r="M35" s="26">
        <f t="shared" si="11"/>
        <v>0</v>
      </c>
      <c r="N35" s="26">
        <f t="shared" si="11"/>
        <v>0</v>
      </c>
      <c r="O35" s="26">
        <f t="shared" si="11"/>
        <v>0</v>
      </c>
      <c r="P35" s="26">
        <f t="shared" si="11"/>
        <v>0</v>
      </c>
      <c r="Q35" s="26">
        <f t="shared" si="11"/>
        <v>0</v>
      </c>
      <c r="R35" s="26">
        <f t="shared" si="11"/>
        <v>0</v>
      </c>
      <c r="S35" s="26">
        <f t="shared" si="11"/>
        <v>0</v>
      </c>
      <c r="T35" s="26">
        <f t="shared" si="11"/>
        <v>0</v>
      </c>
      <c r="U35" s="26">
        <f t="shared" si="11"/>
        <v>0</v>
      </c>
      <c r="V35" s="26">
        <f t="shared" si="11"/>
        <v>0</v>
      </c>
      <c r="W35" s="26">
        <f t="shared" si="11"/>
        <v>0</v>
      </c>
      <c r="X35" s="26">
        <f t="shared" si="11"/>
        <v>0</v>
      </c>
      <c r="Y35" s="26">
        <f t="shared" si="11"/>
        <v>0</v>
      </c>
      <c r="Z35" s="26">
        <f t="shared" si="11"/>
        <v>0</v>
      </c>
      <c r="AA35" s="26">
        <f t="shared" si="11"/>
        <v>0</v>
      </c>
      <c r="AB35" s="26">
        <f t="shared" si="11"/>
        <v>0</v>
      </c>
      <c r="AC35" s="26">
        <f t="shared" si="11"/>
        <v>0</v>
      </c>
      <c r="AD35" s="26">
        <f t="shared" si="11"/>
        <v>0</v>
      </c>
      <c r="AE35" s="26">
        <f t="shared" si="11"/>
        <v>0</v>
      </c>
      <c r="AF35" s="26">
        <f t="shared" si="11"/>
        <v>0</v>
      </c>
      <c r="AG35" s="26">
        <f t="shared" si="11"/>
        <v>0</v>
      </c>
      <c r="AH35" s="26">
        <f t="shared" si="11"/>
        <v>0</v>
      </c>
      <c r="AI35" s="26">
        <f t="shared" si="11"/>
        <v>0</v>
      </c>
      <c r="AJ35" s="26">
        <f t="shared" si="11"/>
        <v>0</v>
      </c>
      <c r="AK35" s="26">
        <f t="shared" si="11"/>
        <v>0</v>
      </c>
      <c r="AL35" s="26">
        <f t="shared" si="11"/>
        <v>0</v>
      </c>
    </row>
    <row r="36" spans="1:38" x14ac:dyDescent="0.2">
      <c r="A36" t="s">
        <v>63</v>
      </c>
      <c r="B36" t="s">
        <v>52</v>
      </c>
      <c r="C36" t="b">
        <v>0</v>
      </c>
      <c r="D36" s="10">
        <f t="shared" si="9"/>
        <v>20430396.207897127</v>
      </c>
      <c r="E36" s="9">
        <f>IF(E$19=ROUNDUP($B$14,0),IF($B$21="BOB",$H$12,$H$11)*(1-$H$7),0)</f>
        <v>0</v>
      </c>
      <c r="F36" s="9">
        <f t="shared" ref="F36:AL36" si="12">IF(F$19=ROUNDUP($B$14,0),IF($B$21="BOB",$H$12,$H$11)*(1-$H$7),0)</f>
        <v>0</v>
      </c>
      <c r="G36" s="9">
        <f t="shared" si="12"/>
        <v>0</v>
      </c>
      <c r="H36" s="9">
        <f t="shared" si="12"/>
        <v>22981417.199999999</v>
      </c>
      <c r="I36" s="9">
        <f t="shared" si="12"/>
        <v>0</v>
      </c>
      <c r="J36" s="9">
        <f t="shared" si="12"/>
        <v>0</v>
      </c>
      <c r="K36" s="9">
        <f t="shared" si="12"/>
        <v>0</v>
      </c>
      <c r="L36" s="9">
        <f t="shared" si="12"/>
        <v>0</v>
      </c>
      <c r="M36" s="9">
        <f t="shared" si="12"/>
        <v>0</v>
      </c>
      <c r="N36" s="9">
        <f t="shared" si="12"/>
        <v>0</v>
      </c>
      <c r="O36" s="9">
        <f t="shared" si="12"/>
        <v>0</v>
      </c>
      <c r="P36" s="9">
        <f t="shared" si="12"/>
        <v>0</v>
      </c>
      <c r="Q36" s="9">
        <f t="shared" si="12"/>
        <v>0</v>
      </c>
      <c r="R36" s="9">
        <f t="shared" si="12"/>
        <v>0</v>
      </c>
      <c r="S36" s="9">
        <f t="shared" si="12"/>
        <v>0</v>
      </c>
      <c r="T36" s="9">
        <f t="shared" si="12"/>
        <v>0</v>
      </c>
      <c r="U36" s="9">
        <f t="shared" si="12"/>
        <v>0</v>
      </c>
      <c r="V36" s="9">
        <f t="shared" si="12"/>
        <v>0</v>
      </c>
      <c r="W36" s="9">
        <f t="shared" si="12"/>
        <v>0</v>
      </c>
      <c r="X36" s="9">
        <f t="shared" si="12"/>
        <v>0</v>
      </c>
      <c r="Y36" s="9">
        <f t="shared" si="12"/>
        <v>0</v>
      </c>
      <c r="Z36" s="9">
        <f t="shared" si="12"/>
        <v>0</v>
      </c>
      <c r="AA36" s="9">
        <f t="shared" si="12"/>
        <v>0</v>
      </c>
      <c r="AB36" s="9">
        <f t="shared" si="12"/>
        <v>0</v>
      </c>
      <c r="AC36" s="9">
        <f t="shared" si="12"/>
        <v>0</v>
      </c>
      <c r="AD36" s="9">
        <f t="shared" si="12"/>
        <v>0</v>
      </c>
      <c r="AE36" s="9">
        <f t="shared" si="12"/>
        <v>0</v>
      </c>
      <c r="AF36" s="9">
        <f t="shared" si="12"/>
        <v>0</v>
      </c>
      <c r="AG36" s="9">
        <f t="shared" si="12"/>
        <v>0</v>
      </c>
      <c r="AH36" s="9">
        <f t="shared" si="12"/>
        <v>0</v>
      </c>
      <c r="AI36" s="9">
        <f t="shared" si="12"/>
        <v>0</v>
      </c>
      <c r="AJ36" s="9">
        <f t="shared" si="12"/>
        <v>0</v>
      </c>
      <c r="AK36" s="9">
        <f t="shared" si="12"/>
        <v>0</v>
      </c>
      <c r="AL36" s="9">
        <f t="shared" si="12"/>
        <v>0</v>
      </c>
    </row>
    <row r="37" spans="1:38" x14ac:dyDescent="0.2">
      <c r="A37" t="s">
        <v>64</v>
      </c>
      <c r="B37" t="s">
        <v>52</v>
      </c>
      <c r="C37" t="b">
        <v>0</v>
      </c>
      <c r="D37" s="10">
        <f t="shared" si="9"/>
        <v>15257855.171825213</v>
      </c>
      <c r="E37" s="9">
        <f>IF(E$19=ROUNDUP($B$14,0),$N$10,0)</f>
        <v>0</v>
      </c>
      <c r="F37" s="9">
        <f t="shared" ref="F37:AL37" si="13">IF(F$19=ROUNDUP($B$14,0),$N$10,0)</f>
        <v>0</v>
      </c>
      <c r="G37" s="9">
        <f t="shared" si="13"/>
        <v>0</v>
      </c>
      <c r="H37" s="9">
        <f t="shared" si="13"/>
        <v>17163012</v>
      </c>
      <c r="I37" s="9">
        <f t="shared" si="13"/>
        <v>0</v>
      </c>
      <c r="J37" s="9">
        <f t="shared" si="13"/>
        <v>0</v>
      </c>
      <c r="K37" s="9">
        <f t="shared" si="13"/>
        <v>0</v>
      </c>
      <c r="L37" s="9">
        <f t="shared" si="13"/>
        <v>0</v>
      </c>
      <c r="M37" s="9">
        <f t="shared" si="13"/>
        <v>0</v>
      </c>
      <c r="N37" s="9">
        <f t="shared" si="13"/>
        <v>0</v>
      </c>
      <c r="O37" s="9">
        <f t="shared" si="13"/>
        <v>0</v>
      </c>
      <c r="P37" s="9">
        <f t="shared" si="13"/>
        <v>0</v>
      </c>
      <c r="Q37" s="9">
        <f t="shared" si="13"/>
        <v>0</v>
      </c>
      <c r="R37" s="9">
        <f t="shared" si="13"/>
        <v>0</v>
      </c>
      <c r="S37" s="9">
        <f t="shared" si="13"/>
        <v>0</v>
      </c>
      <c r="T37" s="9">
        <f t="shared" si="13"/>
        <v>0</v>
      </c>
      <c r="U37" s="9">
        <f t="shared" si="13"/>
        <v>0</v>
      </c>
      <c r="V37" s="9">
        <f t="shared" si="13"/>
        <v>0</v>
      </c>
      <c r="W37" s="9">
        <f t="shared" si="13"/>
        <v>0</v>
      </c>
      <c r="X37" s="9">
        <f t="shared" si="13"/>
        <v>0</v>
      </c>
      <c r="Y37" s="9">
        <f t="shared" si="13"/>
        <v>0</v>
      </c>
      <c r="Z37" s="9">
        <f t="shared" si="13"/>
        <v>0</v>
      </c>
      <c r="AA37" s="9">
        <f t="shared" si="13"/>
        <v>0</v>
      </c>
      <c r="AB37" s="9">
        <f t="shared" si="13"/>
        <v>0</v>
      </c>
      <c r="AC37" s="9">
        <f t="shared" si="13"/>
        <v>0</v>
      </c>
      <c r="AD37" s="9">
        <f t="shared" si="13"/>
        <v>0</v>
      </c>
      <c r="AE37" s="9">
        <f t="shared" si="13"/>
        <v>0</v>
      </c>
      <c r="AF37" s="9">
        <f t="shared" si="13"/>
        <v>0</v>
      </c>
      <c r="AG37" s="9">
        <f t="shared" si="13"/>
        <v>0</v>
      </c>
      <c r="AH37" s="9">
        <f t="shared" si="13"/>
        <v>0</v>
      </c>
      <c r="AI37" s="9">
        <f t="shared" si="13"/>
        <v>0</v>
      </c>
      <c r="AJ37" s="9">
        <f t="shared" si="13"/>
        <v>0</v>
      </c>
      <c r="AK37" s="9">
        <f t="shared" si="13"/>
        <v>0</v>
      </c>
      <c r="AL37" s="9">
        <f t="shared" si="13"/>
        <v>0</v>
      </c>
    </row>
    <row r="38" spans="1:38" x14ac:dyDescent="0.2">
      <c r="A38" t="s">
        <v>65</v>
      </c>
      <c r="B38" t="s">
        <v>52</v>
      </c>
      <c r="C38" t="b">
        <v>0</v>
      </c>
      <c r="D38" s="10">
        <f t="shared" si="9"/>
        <v>0</v>
      </c>
      <c r="E38" s="9">
        <f>IF($B$21="BOB",IF(E$19=ROUNDUP($B$14,0),-$H$12-$N$12,0),0)</f>
        <v>0</v>
      </c>
      <c r="F38" s="9">
        <f t="shared" ref="F38:AL38" si="14">IF($B$21="BOB",IF(F$19=ROUNDUP($B$14,0),-$H$12-$N$12,0),0)</f>
        <v>0</v>
      </c>
      <c r="G38" s="9">
        <f t="shared" si="14"/>
        <v>0</v>
      </c>
      <c r="H38" s="9">
        <f t="shared" si="14"/>
        <v>0</v>
      </c>
      <c r="I38" s="9">
        <f t="shared" si="14"/>
        <v>0</v>
      </c>
      <c r="J38" s="9">
        <f t="shared" si="14"/>
        <v>0</v>
      </c>
      <c r="K38" s="9">
        <f t="shared" si="14"/>
        <v>0</v>
      </c>
      <c r="L38" s="9">
        <f t="shared" si="14"/>
        <v>0</v>
      </c>
      <c r="M38" s="9">
        <f t="shared" si="14"/>
        <v>0</v>
      </c>
      <c r="N38" s="9">
        <f t="shared" si="14"/>
        <v>0</v>
      </c>
      <c r="O38" s="9">
        <f t="shared" si="14"/>
        <v>0</v>
      </c>
      <c r="P38" s="9">
        <f t="shared" si="14"/>
        <v>0</v>
      </c>
      <c r="Q38" s="9">
        <f t="shared" si="14"/>
        <v>0</v>
      </c>
      <c r="R38" s="9">
        <f t="shared" si="14"/>
        <v>0</v>
      </c>
      <c r="S38" s="9">
        <f t="shared" si="14"/>
        <v>0</v>
      </c>
      <c r="T38" s="9">
        <f t="shared" si="14"/>
        <v>0</v>
      </c>
      <c r="U38" s="9">
        <f t="shared" si="14"/>
        <v>0</v>
      </c>
      <c r="V38" s="9">
        <f t="shared" si="14"/>
        <v>0</v>
      </c>
      <c r="W38" s="9">
        <f t="shared" si="14"/>
        <v>0</v>
      </c>
      <c r="X38" s="9">
        <f t="shared" si="14"/>
        <v>0</v>
      </c>
      <c r="Y38" s="9">
        <f t="shared" si="14"/>
        <v>0</v>
      </c>
      <c r="Z38" s="9">
        <f t="shared" si="14"/>
        <v>0</v>
      </c>
      <c r="AA38" s="9">
        <f t="shared" si="14"/>
        <v>0</v>
      </c>
      <c r="AB38" s="9">
        <f t="shared" si="14"/>
        <v>0</v>
      </c>
      <c r="AC38" s="9">
        <f t="shared" si="14"/>
        <v>0</v>
      </c>
      <c r="AD38" s="9">
        <f t="shared" si="14"/>
        <v>0</v>
      </c>
      <c r="AE38" s="9">
        <f t="shared" si="14"/>
        <v>0</v>
      </c>
      <c r="AF38" s="9">
        <f t="shared" si="14"/>
        <v>0</v>
      </c>
      <c r="AG38" s="9">
        <f t="shared" si="14"/>
        <v>0</v>
      </c>
      <c r="AH38" s="9">
        <f t="shared" si="14"/>
        <v>0</v>
      </c>
      <c r="AI38" s="9">
        <f t="shared" si="14"/>
        <v>0</v>
      </c>
      <c r="AJ38" s="9">
        <f t="shared" si="14"/>
        <v>0</v>
      </c>
      <c r="AK38" s="9">
        <f t="shared" si="14"/>
        <v>0</v>
      </c>
      <c r="AL38" s="9">
        <f t="shared" si="14"/>
        <v>0</v>
      </c>
    </row>
    <row r="39" spans="1:38" x14ac:dyDescent="0.2">
      <c r="A39" t="s">
        <v>66</v>
      </c>
      <c r="B39" t="s">
        <v>50</v>
      </c>
      <c r="C39" t="b">
        <v>1</v>
      </c>
      <c r="D39" s="10">
        <f t="shared" si="9"/>
        <v>0</v>
      </c>
      <c r="E39" s="9">
        <f>-E38/(1+$B$11)</f>
        <v>0</v>
      </c>
      <c r="F39" s="9">
        <f t="shared" ref="F39:AL39" si="15">-F38/(1+$B$11)</f>
        <v>0</v>
      </c>
      <c r="G39" s="9">
        <f t="shared" si="15"/>
        <v>0</v>
      </c>
      <c r="H39" s="9">
        <f t="shared" si="15"/>
        <v>0</v>
      </c>
      <c r="I39" s="9">
        <f t="shared" si="15"/>
        <v>0</v>
      </c>
      <c r="J39" s="9">
        <f t="shared" si="15"/>
        <v>0</v>
      </c>
      <c r="K39" s="9">
        <f t="shared" si="15"/>
        <v>0</v>
      </c>
      <c r="L39" s="9">
        <f t="shared" si="15"/>
        <v>0</v>
      </c>
      <c r="M39" s="9">
        <f t="shared" si="15"/>
        <v>0</v>
      </c>
      <c r="N39" s="9">
        <f t="shared" si="15"/>
        <v>0</v>
      </c>
      <c r="O39" s="9">
        <f t="shared" si="15"/>
        <v>0</v>
      </c>
      <c r="P39" s="9">
        <f t="shared" si="15"/>
        <v>0</v>
      </c>
      <c r="Q39" s="9">
        <f t="shared" si="15"/>
        <v>0</v>
      </c>
      <c r="R39" s="9">
        <f t="shared" si="15"/>
        <v>0</v>
      </c>
      <c r="S39" s="9">
        <f t="shared" si="15"/>
        <v>0</v>
      </c>
      <c r="T39" s="9">
        <f t="shared" si="15"/>
        <v>0</v>
      </c>
      <c r="U39" s="9">
        <f t="shared" si="15"/>
        <v>0</v>
      </c>
      <c r="V39" s="9">
        <f t="shared" si="15"/>
        <v>0</v>
      </c>
      <c r="W39" s="9">
        <f t="shared" si="15"/>
        <v>0</v>
      </c>
      <c r="X39" s="9">
        <f t="shared" si="15"/>
        <v>0</v>
      </c>
      <c r="Y39" s="9">
        <f t="shared" si="15"/>
        <v>0</v>
      </c>
      <c r="Z39" s="9">
        <f t="shared" si="15"/>
        <v>0</v>
      </c>
      <c r="AA39" s="9">
        <f t="shared" si="15"/>
        <v>0</v>
      </c>
      <c r="AB39" s="9">
        <f t="shared" si="15"/>
        <v>0</v>
      </c>
      <c r="AC39" s="9">
        <f t="shared" si="15"/>
        <v>0</v>
      </c>
      <c r="AD39" s="9">
        <f t="shared" si="15"/>
        <v>0</v>
      </c>
      <c r="AE39" s="9">
        <f t="shared" si="15"/>
        <v>0</v>
      </c>
      <c r="AF39" s="9">
        <f t="shared" si="15"/>
        <v>0</v>
      </c>
      <c r="AG39" s="9">
        <f t="shared" si="15"/>
        <v>0</v>
      </c>
      <c r="AH39" s="9">
        <f t="shared" si="15"/>
        <v>0</v>
      </c>
      <c r="AI39" s="9">
        <f t="shared" si="15"/>
        <v>0</v>
      </c>
      <c r="AJ39" s="9">
        <f t="shared" si="15"/>
        <v>0</v>
      </c>
      <c r="AK39" s="9">
        <f t="shared" si="15"/>
        <v>0</v>
      </c>
      <c r="AL39" s="9">
        <f t="shared" si="15"/>
        <v>0</v>
      </c>
    </row>
    <row r="40" spans="1:38" s="16" customFormat="1" x14ac:dyDescent="0.2">
      <c r="A40" s="15" t="s">
        <v>67</v>
      </c>
      <c r="B40" s="15" t="s">
        <v>50</v>
      </c>
      <c r="D40" s="19">
        <f t="shared" si="9"/>
        <v>0</v>
      </c>
      <c r="E40" s="18">
        <f t="shared" ref="E40:AL40" si="16">SUMIFS(E$34:E$39,$C$34:$C$39,TRUE)*$B$11</f>
        <v>0</v>
      </c>
      <c r="F40" s="18">
        <f t="shared" si="16"/>
        <v>0</v>
      </c>
      <c r="G40" s="18">
        <f t="shared" si="16"/>
        <v>0</v>
      </c>
      <c r="H40" s="18">
        <f t="shared" si="16"/>
        <v>0</v>
      </c>
      <c r="I40" s="18">
        <f t="shared" si="16"/>
        <v>0</v>
      </c>
      <c r="J40" s="18">
        <f t="shared" si="16"/>
        <v>0</v>
      </c>
      <c r="K40" s="18">
        <f t="shared" si="16"/>
        <v>0</v>
      </c>
      <c r="L40" s="18">
        <f t="shared" si="16"/>
        <v>0</v>
      </c>
      <c r="M40" s="18">
        <f t="shared" si="16"/>
        <v>0</v>
      </c>
      <c r="N40" s="18">
        <f t="shared" si="16"/>
        <v>0</v>
      </c>
      <c r="O40" s="18">
        <f t="shared" si="16"/>
        <v>0</v>
      </c>
      <c r="P40" s="18">
        <f t="shared" si="16"/>
        <v>0</v>
      </c>
      <c r="Q40" s="18">
        <f t="shared" si="16"/>
        <v>0</v>
      </c>
      <c r="R40" s="18">
        <f t="shared" si="16"/>
        <v>0</v>
      </c>
      <c r="S40" s="18">
        <f t="shared" si="16"/>
        <v>0</v>
      </c>
      <c r="T40" s="18">
        <f t="shared" si="16"/>
        <v>0</v>
      </c>
      <c r="U40" s="18">
        <f t="shared" si="16"/>
        <v>0</v>
      </c>
      <c r="V40" s="18">
        <f t="shared" si="16"/>
        <v>0</v>
      </c>
      <c r="W40" s="18">
        <f t="shared" si="16"/>
        <v>0</v>
      </c>
      <c r="X40" s="18">
        <f t="shared" si="16"/>
        <v>0</v>
      </c>
      <c r="Y40" s="18">
        <f t="shared" si="16"/>
        <v>0</v>
      </c>
      <c r="Z40" s="18">
        <f t="shared" si="16"/>
        <v>0</v>
      </c>
      <c r="AA40" s="18">
        <f t="shared" si="16"/>
        <v>0</v>
      </c>
      <c r="AB40" s="18">
        <f t="shared" si="16"/>
        <v>0</v>
      </c>
      <c r="AC40" s="18">
        <f t="shared" si="16"/>
        <v>0</v>
      </c>
      <c r="AD40" s="18">
        <f t="shared" si="16"/>
        <v>0</v>
      </c>
      <c r="AE40" s="18">
        <f t="shared" si="16"/>
        <v>0</v>
      </c>
      <c r="AF40" s="18">
        <f t="shared" si="16"/>
        <v>0</v>
      </c>
      <c r="AG40" s="18">
        <f t="shared" si="16"/>
        <v>0</v>
      </c>
      <c r="AH40" s="18">
        <f t="shared" si="16"/>
        <v>0</v>
      </c>
      <c r="AI40" s="18">
        <f t="shared" si="16"/>
        <v>0</v>
      </c>
      <c r="AJ40" s="18">
        <f t="shared" si="16"/>
        <v>0</v>
      </c>
      <c r="AK40" s="18">
        <f t="shared" si="16"/>
        <v>0</v>
      </c>
      <c r="AL40" s="18">
        <f t="shared" si="16"/>
        <v>0</v>
      </c>
    </row>
    <row r="41" spans="1:38" s="16" customFormat="1" x14ac:dyDescent="0.2">
      <c r="A41" s="21"/>
      <c r="B41" s="15"/>
      <c r="D41" s="19"/>
      <c r="E41"/>
      <c r="F41" s="22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</row>
    <row r="42" spans="1:38" x14ac:dyDescent="0.2">
      <c r="A42" s="8" t="s">
        <v>68</v>
      </c>
    </row>
    <row r="43" spans="1:38" s="16" customFormat="1" x14ac:dyDescent="0.2">
      <c r="A43" s="15" t="s">
        <v>69</v>
      </c>
      <c r="B43" s="16" t="b">
        <v>0</v>
      </c>
      <c r="C43" s="16" t="b">
        <v>0</v>
      </c>
      <c r="E43" s="18">
        <f>E34*0.5*$K$7*IF(E18=0,0,1)</f>
        <v>0</v>
      </c>
      <c r="F43" s="18">
        <f>(SUM($E$34:E34)+F34*0.5)*$K$7*IF(F18=0,0,1)</f>
        <v>0</v>
      </c>
      <c r="G43" s="18">
        <f>(SUM($E$34:F34)+G34*0.5)*$K$7*IF(G18=0,0,1)</f>
        <v>0</v>
      </c>
      <c r="H43" s="18">
        <f>(SUM($E$34:G34)+H34*0.5)*$K$7*IF(H18=0,0,1)</f>
        <v>0</v>
      </c>
      <c r="I43" s="18">
        <f>(SUM($E$34:H34)+I34*0.5)*$K$7*IF(I18=0,0,1)</f>
        <v>0</v>
      </c>
      <c r="J43" s="18">
        <f>(SUM($E$34:I34)+J34*0.5)*$K$7*IF(J18=0,0,1)</f>
        <v>0</v>
      </c>
      <c r="K43" s="18">
        <f>(SUM($E$34:J34)+K34*0.5)*$K$7*IF(K18=0,0,1)</f>
        <v>0</v>
      </c>
      <c r="L43" s="18">
        <f>(SUM($E$34:K34)+L34*0.5)*$K$7*IF(L18=0,0,1)</f>
        <v>0</v>
      </c>
      <c r="M43" s="18">
        <f>(SUM($E$34:L34)+M34*0.5)*$K$7*IF(M18=0,0,1)</f>
        <v>0</v>
      </c>
      <c r="N43" s="18">
        <f>(SUM($E$34:M34)+N34*0.5)*$K$7*IF(N18=0,0,1)</f>
        <v>0</v>
      </c>
      <c r="O43" s="18">
        <f>(SUM($E$34:N34)+O34*0.5)*$K$7*IF(O18=0,0,1)</f>
        <v>0</v>
      </c>
      <c r="P43" s="18">
        <f>(SUM($E$34:O34)+P34*0.5)*$K$7*IF(P18=0,0,1)</f>
        <v>0</v>
      </c>
      <c r="Q43" s="18">
        <f>(SUM($E$34:P34)+Q34*0.5)*$K$7*IF(Q18=0,0,1)</f>
        <v>0</v>
      </c>
      <c r="R43" s="18">
        <f>(SUM($E$34:Q34)+R34*0.5)*$K$7*IF(R18=0,0,1)</f>
        <v>0</v>
      </c>
      <c r="S43" s="18">
        <f>(SUM($E$34:R34)+S34*0.5)*$K$7*IF(S18=0,0,1)</f>
        <v>0</v>
      </c>
      <c r="T43" s="18">
        <f>(SUM($E$34:S34)+T34*0.5)*$K$7*IF(T18=0,0,1)</f>
        <v>0</v>
      </c>
      <c r="U43" s="18">
        <f>(SUM($E$34:T34)+U34*0.5)*$K$7*IF(U18=0,0,1)</f>
        <v>0</v>
      </c>
      <c r="V43" s="18">
        <f>(SUM($E$34:U34)+V34*0.5)*$K$7*IF(V18=0,0,1)</f>
        <v>0</v>
      </c>
      <c r="W43" s="18">
        <f>(SUM($E$34:V34)+W34*0.5)*$K$7*IF(W18=0,0,1)</f>
        <v>0</v>
      </c>
      <c r="X43" s="18">
        <f>(SUM($E$34:W34)+X34*0.5)*$K$7*IF(X18=0,0,1)</f>
        <v>0</v>
      </c>
      <c r="Y43" s="18">
        <f>(SUM($E$34:X34)+Y34*0.5)*$K$7*IF(Y18=0,0,1)</f>
        <v>0</v>
      </c>
      <c r="Z43" s="18">
        <f>(SUM($E$34:Y34)+Z34*0.5)*$K$7*IF(Z18=0,0,1)</f>
        <v>0</v>
      </c>
      <c r="AA43" s="18">
        <f>(SUM($E$34:Z34)+AA34*0.5)*$K$7*IF(AA18=0,0,1)</f>
        <v>0</v>
      </c>
      <c r="AB43" s="18">
        <f>(SUM($E$34:AA34)+AB34*0.5)*$K$7*IF(AB18=0,0,1)</f>
        <v>0</v>
      </c>
      <c r="AC43" s="18">
        <f>(SUM($E$34:AB34)+AC34*0.5)*$K$7*IF(AC18=0,0,1)</f>
        <v>0</v>
      </c>
      <c r="AD43" s="18">
        <f>(SUM($E$34:AC34)+AD34*0.5)*$K$7*IF(AD18=0,0,1)</f>
        <v>0</v>
      </c>
      <c r="AE43" s="18">
        <f>(SUM($E$34:AD34)+AE34*0.5)*$K$7*IF(AE18=0,0,1)</f>
        <v>0</v>
      </c>
      <c r="AF43" s="18">
        <f>(SUM($E$34:AE34)+AF34*0.5)*$K$7*IF(AF18=0,0,1)</f>
        <v>0</v>
      </c>
      <c r="AG43" s="18">
        <f>(SUM($E$34:AF34)+AG34*0.5)*$K$7*IF(AG18=0,0,1)</f>
        <v>0</v>
      </c>
      <c r="AH43" s="18">
        <f>(SUM($E$34:AG34)+AH34*0.5)*$K$7*IF(AH18=0,0,1)</f>
        <v>0</v>
      </c>
      <c r="AI43" s="18">
        <f>(SUM($E$34:AH34)+AI34*0.5)*$K$7*IF(AI18=0,0,1)</f>
        <v>0</v>
      </c>
      <c r="AJ43" s="18">
        <f>(SUM($E$34:AI34)+AJ34*0.5)*$K$7*IF(AJ18=0,0,1)</f>
        <v>0</v>
      </c>
      <c r="AK43" s="18">
        <f>(SUM($E$34:AJ34)+AK34*0.5)*$K$7*IF(AK18=0,0,1)</f>
        <v>0</v>
      </c>
      <c r="AL43" s="18">
        <f>(SUM($E$34:AK34)+AL34*0.5)*$K$7*IF(AL18=0,0,1)</f>
        <v>0</v>
      </c>
    </row>
    <row r="44" spans="1:38" x14ac:dyDescent="0.2">
      <c r="A44" t="s">
        <v>70</v>
      </c>
      <c r="B44" t="s">
        <v>50</v>
      </c>
      <c r="C44" t="b">
        <v>0</v>
      </c>
      <c r="D44" s="10">
        <f>E44+NPV($K$5,F44:AK44)</f>
        <v>0</v>
      </c>
      <c r="E44" s="9">
        <f t="shared" ref="E44:AL44" si="17">-IF(E19=ROUNDUP($B$14,0),SUM($E$34:$AL$34,$E$43:$AL$43),0)</f>
        <v>0</v>
      </c>
      <c r="F44" s="9">
        <f t="shared" si="17"/>
        <v>0</v>
      </c>
      <c r="G44" s="9">
        <f t="shared" si="17"/>
        <v>0</v>
      </c>
      <c r="H44" s="9">
        <f t="shared" si="17"/>
        <v>0</v>
      </c>
      <c r="I44" s="9">
        <f t="shared" si="17"/>
        <v>0</v>
      </c>
      <c r="J44" s="9">
        <f t="shared" si="17"/>
        <v>0</v>
      </c>
      <c r="K44" s="9">
        <f t="shared" si="17"/>
        <v>0</v>
      </c>
      <c r="L44" s="9">
        <f t="shared" si="17"/>
        <v>0</v>
      </c>
      <c r="M44" s="9">
        <f t="shared" si="17"/>
        <v>0</v>
      </c>
      <c r="N44" s="9">
        <f t="shared" si="17"/>
        <v>0</v>
      </c>
      <c r="O44" s="9">
        <f t="shared" si="17"/>
        <v>0</v>
      </c>
      <c r="P44" s="9">
        <f t="shared" si="17"/>
        <v>0</v>
      </c>
      <c r="Q44" s="9">
        <f t="shared" si="17"/>
        <v>0</v>
      </c>
      <c r="R44" s="9">
        <f t="shared" si="17"/>
        <v>0</v>
      </c>
      <c r="S44" s="9">
        <f t="shared" si="17"/>
        <v>0</v>
      </c>
      <c r="T44" s="9">
        <f t="shared" si="17"/>
        <v>0</v>
      </c>
      <c r="U44" s="9">
        <f t="shared" si="17"/>
        <v>0</v>
      </c>
      <c r="V44" s="9">
        <f t="shared" si="17"/>
        <v>0</v>
      </c>
      <c r="W44" s="9">
        <f t="shared" si="17"/>
        <v>0</v>
      </c>
      <c r="X44" s="9">
        <f t="shared" si="17"/>
        <v>0</v>
      </c>
      <c r="Y44" s="9">
        <f t="shared" si="17"/>
        <v>0</v>
      </c>
      <c r="Z44" s="9">
        <f t="shared" si="17"/>
        <v>0</v>
      </c>
      <c r="AA44" s="9">
        <f t="shared" si="17"/>
        <v>0</v>
      </c>
      <c r="AB44" s="9">
        <f t="shared" si="17"/>
        <v>0</v>
      </c>
      <c r="AC44" s="9">
        <f t="shared" si="17"/>
        <v>0</v>
      </c>
      <c r="AD44" s="9">
        <f t="shared" si="17"/>
        <v>0</v>
      </c>
      <c r="AE44" s="9">
        <f t="shared" si="17"/>
        <v>0</v>
      </c>
      <c r="AF44" s="9">
        <f t="shared" si="17"/>
        <v>0</v>
      </c>
      <c r="AG44" s="9">
        <f t="shared" si="17"/>
        <v>0</v>
      </c>
      <c r="AH44" s="9">
        <f t="shared" si="17"/>
        <v>0</v>
      </c>
      <c r="AI44" s="9">
        <f t="shared" si="17"/>
        <v>0</v>
      </c>
      <c r="AJ44" s="9">
        <f t="shared" si="17"/>
        <v>0</v>
      </c>
      <c r="AK44" s="9">
        <f t="shared" si="17"/>
        <v>0</v>
      </c>
      <c r="AL44" s="9">
        <f t="shared" si="17"/>
        <v>0</v>
      </c>
    </row>
    <row r="45" spans="1:38" x14ac:dyDescent="0.2">
      <c r="A45" t="s">
        <v>71</v>
      </c>
      <c r="B45" t="s">
        <v>52</v>
      </c>
      <c r="C45" t="b">
        <v>0</v>
      </c>
      <c r="D45" s="10">
        <f>E45+NPV($K$5,F45:AK45)</f>
        <v>-8806996.3962359987</v>
      </c>
      <c r="E45" s="9">
        <f>IF(E$19&gt;ROUNDUP($B$14,0),IF(E46&lt;&gt;-0.01,PPMT($K$5,E$19-ROUNDUP($B$14,0),$K$6,$N$10),0.01),0)</f>
        <v>0</v>
      </c>
      <c r="F45" s="9">
        <f t="shared" ref="F45:AL45" si="18">IF(F$19&gt;ROUNDUP($B$14,0),IF(F46&lt;&gt;-0.01,PPMT($K$5,F$19-ROUNDUP($B$14,0),$K$6,$N$10),0.01),0)</f>
        <v>0</v>
      </c>
      <c r="G45" s="9">
        <f t="shared" si="18"/>
        <v>0</v>
      </c>
      <c r="H45" s="9">
        <f t="shared" si="18"/>
        <v>0</v>
      </c>
      <c r="I45" s="9">
        <f t="shared" si="18"/>
        <v>-412117.60544747394</v>
      </c>
      <c r="J45" s="9">
        <f t="shared" si="18"/>
        <v>-428602.30966537289</v>
      </c>
      <c r="K45" s="9">
        <f t="shared" si="18"/>
        <v>-445746.40205198782</v>
      </c>
      <c r="L45" s="9">
        <f t="shared" si="18"/>
        <v>-463576.25813406729</v>
      </c>
      <c r="M45" s="9">
        <f t="shared" si="18"/>
        <v>-482119.30845943</v>
      </c>
      <c r="N45" s="9">
        <f t="shared" si="18"/>
        <v>-501404.0807978072</v>
      </c>
      <c r="O45" s="9">
        <f t="shared" si="18"/>
        <v>-521460.24402971956</v>
      </c>
      <c r="P45" s="9">
        <f t="shared" si="18"/>
        <v>-542318.65379090828</v>
      </c>
      <c r="Q45" s="9">
        <f t="shared" si="18"/>
        <v>-564011.39994254452</v>
      </c>
      <c r="R45" s="9">
        <f t="shared" si="18"/>
        <v>-586571.85594024637</v>
      </c>
      <c r="S45" s="9">
        <f t="shared" si="18"/>
        <v>-610034.73017785628</v>
      </c>
      <c r="T45" s="9">
        <f t="shared" si="18"/>
        <v>-634436.11938497052</v>
      </c>
      <c r="U45" s="9">
        <f t="shared" si="18"/>
        <v>-659813.56416036922</v>
      </c>
      <c r="V45" s="9">
        <f t="shared" si="18"/>
        <v>-686206.10672678414</v>
      </c>
      <c r="W45" s="9">
        <f t="shared" si="18"/>
        <v>-713654.35099585552</v>
      </c>
      <c r="X45" s="9">
        <f t="shared" si="18"/>
        <v>-742200.52503568958</v>
      </c>
      <c r="Y45" s="9">
        <f t="shared" si="18"/>
        <v>-771888.54603711725</v>
      </c>
      <c r="Z45" s="9">
        <f t="shared" si="18"/>
        <v>-802764.08787860186</v>
      </c>
      <c r="AA45" s="9">
        <f t="shared" si="18"/>
        <v>-834874.65139374603</v>
      </c>
      <c r="AB45" s="9">
        <f t="shared" si="18"/>
        <v>-868269.63744949584</v>
      </c>
      <c r="AC45" s="9">
        <f t="shared" si="18"/>
        <v>-903000.42294747569</v>
      </c>
      <c r="AD45" s="9">
        <f t="shared" si="18"/>
        <v>-939120.4398653747</v>
      </c>
      <c r="AE45" s="9">
        <f t="shared" si="18"/>
        <v>-976685.25745998963</v>
      </c>
      <c r="AF45" s="9">
        <f t="shared" si="18"/>
        <v>-1015752.6677583893</v>
      </c>
      <c r="AG45" s="9">
        <f t="shared" si="18"/>
        <v>-1056382.7744687248</v>
      </c>
      <c r="AH45" s="9">
        <f t="shared" si="18"/>
        <v>0.01</v>
      </c>
      <c r="AI45" s="9">
        <f t="shared" si="18"/>
        <v>0.01</v>
      </c>
      <c r="AJ45" s="9">
        <f t="shared" si="18"/>
        <v>0.01</v>
      </c>
      <c r="AK45" s="9">
        <f t="shared" si="18"/>
        <v>0.01</v>
      </c>
      <c r="AL45" s="9">
        <f t="shared" si="18"/>
        <v>0.01</v>
      </c>
    </row>
    <row r="46" spans="1:38" x14ac:dyDescent="0.2">
      <c r="A46" t="s">
        <v>72</v>
      </c>
      <c r="B46" t="s">
        <v>52</v>
      </c>
      <c r="C46" t="b">
        <v>0</v>
      </c>
      <c r="D46" s="10">
        <f>E46+NPV($K$5,F46:AK46)</f>
        <v>-6450858.7755892016</v>
      </c>
      <c r="E46" s="9">
        <f>IF(E$19&gt;ROUNDUP($B$14,0),IFERROR(IPMT($K$5,E$19-ROUNDUP($B$14,0),$K$6,$N$10),-0.01),0)</f>
        <v>0</v>
      </c>
      <c r="F46" s="9">
        <f t="shared" ref="F46:AL46" si="19">IF(F$19&gt;ROUNDUP($B$14,0),IFERROR(IPMT($K$5,F$19-ROUNDUP($B$14,0),$K$6,$N$10),-0.01),0)</f>
        <v>0</v>
      </c>
      <c r="G46" s="9">
        <f t="shared" si="19"/>
        <v>0</v>
      </c>
      <c r="H46" s="9">
        <f t="shared" si="19"/>
        <v>0</v>
      </c>
      <c r="I46" s="9">
        <f t="shared" si="19"/>
        <v>-686520.48</v>
      </c>
      <c r="J46" s="9">
        <f t="shared" si="19"/>
        <v>-670035.77578210086</v>
      </c>
      <c r="K46" s="9">
        <f t="shared" si="19"/>
        <v>-652891.68339548609</v>
      </c>
      <c r="L46" s="9">
        <f t="shared" si="19"/>
        <v>-635061.82731340651</v>
      </c>
      <c r="M46" s="9">
        <f t="shared" si="19"/>
        <v>-616518.77698804392</v>
      </c>
      <c r="N46" s="9">
        <f t="shared" si="19"/>
        <v>-597234.0046496666</v>
      </c>
      <c r="O46" s="9">
        <f t="shared" si="19"/>
        <v>-577177.8414177543</v>
      </c>
      <c r="P46" s="9">
        <f t="shared" si="19"/>
        <v>-556319.43165656563</v>
      </c>
      <c r="Q46" s="9">
        <f t="shared" si="19"/>
        <v>-534626.68550492916</v>
      </c>
      <c r="R46" s="9">
        <f t="shared" si="19"/>
        <v>-512066.22950722749</v>
      </c>
      <c r="S46" s="9">
        <f t="shared" si="19"/>
        <v>-488603.35526961769</v>
      </c>
      <c r="T46" s="9">
        <f t="shared" si="19"/>
        <v>-464201.96606250334</v>
      </c>
      <c r="U46" s="9">
        <f t="shared" si="19"/>
        <v>-438824.52128710458</v>
      </c>
      <c r="V46" s="9">
        <f t="shared" si="19"/>
        <v>-412431.97872068977</v>
      </c>
      <c r="W46" s="9">
        <f t="shared" si="19"/>
        <v>-384983.73445161845</v>
      </c>
      <c r="X46" s="9">
        <f t="shared" si="19"/>
        <v>-356437.56041178416</v>
      </c>
      <c r="Y46" s="9">
        <f t="shared" si="19"/>
        <v>-326749.53941035661</v>
      </c>
      <c r="Z46" s="9">
        <f t="shared" si="19"/>
        <v>-295873.99756887188</v>
      </c>
      <c r="AA46" s="9">
        <f t="shared" si="19"/>
        <v>-263763.43405372783</v>
      </c>
      <c r="AB46" s="9">
        <f t="shared" si="19"/>
        <v>-230368.44799797796</v>
      </c>
      <c r="AC46" s="9">
        <f t="shared" si="19"/>
        <v>-195637.66249999814</v>
      </c>
      <c r="AD46" s="9">
        <f t="shared" si="19"/>
        <v>-159517.64558209913</v>
      </c>
      <c r="AE46" s="9">
        <f t="shared" si="19"/>
        <v>-121952.82798748415</v>
      </c>
      <c r="AF46" s="9">
        <f t="shared" si="19"/>
        <v>-82885.417689084556</v>
      </c>
      <c r="AG46" s="9">
        <f t="shared" si="19"/>
        <v>-42255.310978748996</v>
      </c>
      <c r="AH46" s="9">
        <f t="shared" si="19"/>
        <v>-0.01</v>
      </c>
      <c r="AI46" s="9">
        <f t="shared" si="19"/>
        <v>-0.01</v>
      </c>
      <c r="AJ46" s="9">
        <f t="shared" si="19"/>
        <v>-0.01</v>
      </c>
      <c r="AK46" s="9">
        <f t="shared" si="19"/>
        <v>-0.01</v>
      </c>
      <c r="AL46" s="9">
        <f t="shared" si="19"/>
        <v>-0.01</v>
      </c>
    </row>
    <row r="47" spans="1:38" x14ac:dyDescent="0.2">
      <c r="A47" t="s">
        <v>73</v>
      </c>
      <c r="B47" t="s">
        <v>52</v>
      </c>
      <c r="C47" t="b">
        <v>0</v>
      </c>
      <c r="D47" s="10">
        <f>E47+NPV($K$5,F47:AK47)</f>
        <v>-7969510.5238158666</v>
      </c>
      <c r="E47" s="9">
        <f>IF(E$19&gt;ROUNDUP($B$14,0),IF(E48&lt;&gt;-0.01,PPMT($H$5,E$19-ROUNDUP($B$14,0),$H$6,IF($B$9="BOB",$H$12,$H$11)*(1-$H$7)),0.01),0)</f>
        <v>0</v>
      </c>
      <c r="F47" s="9">
        <f t="shared" ref="F47:AL47" si="20">IF(F$19&gt;ROUNDUP($B$14,0),IF(F48&lt;&gt;-0.01,PPMT($H$5,F$19-ROUNDUP($B$14,0),$H$6,IF($B$9="BOB",$H$12,$H$11)*(1-$H$7)),0.01),0)</f>
        <v>0</v>
      </c>
      <c r="G47" s="9">
        <f t="shared" si="20"/>
        <v>0</v>
      </c>
      <c r="H47" s="9">
        <f t="shared" si="20"/>
        <v>0</v>
      </c>
      <c r="I47" s="9">
        <f t="shared" si="20"/>
        <v>-470098.63119356846</v>
      </c>
      <c r="J47" s="9">
        <f t="shared" si="20"/>
        <v>-474799.61750550411</v>
      </c>
      <c r="K47" s="9">
        <f t="shared" si="20"/>
        <v>-479547.61368055927</v>
      </c>
      <c r="L47" s="9">
        <f t="shared" si="20"/>
        <v>-484343.08981736482</v>
      </c>
      <c r="M47" s="9">
        <f t="shared" si="20"/>
        <v>-489186.52071553841</v>
      </c>
      <c r="N47" s="9">
        <f t="shared" si="20"/>
        <v>-494078.38592269376</v>
      </c>
      <c r="O47" s="9">
        <f t="shared" si="20"/>
        <v>-499019.16978192079</v>
      </c>
      <c r="P47" s="9">
        <f t="shared" si="20"/>
        <v>-504009.36147973995</v>
      </c>
      <c r="Q47" s="9">
        <f t="shared" si="20"/>
        <v>-509049.45509453729</v>
      </c>
      <c r="R47" s="9">
        <f t="shared" si="20"/>
        <v>-514139.9496454827</v>
      </c>
      <c r="S47" s="9">
        <f t="shared" si="20"/>
        <v>-519281.34914193756</v>
      </c>
      <c r="T47" s="9">
        <f t="shared" si="20"/>
        <v>-524474.16263335687</v>
      </c>
      <c r="U47" s="9">
        <f t="shared" si="20"/>
        <v>-529718.90425969043</v>
      </c>
      <c r="V47" s="9">
        <f t="shared" si="20"/>
        <v>-535016.09330228751</v>
      </c>
      <c r="W47" s="9">
        <f t="shared" si="20"/>
        <v>-540366.25423531025</v>
      </c>
      <c r="X47" s="9">
        <f t="shared" si="20"/>
        <v>-545769.9167776634</v>
      </c>
      <c r="Y47" s="9">
        <f t="shared" si="20"/>
        <v>-551227.61594544002</v>
      </c>
      <c r="Z47" s="9">
        <f t="shared" si="20"/>
        <v>-556739.89210489439</v>
      </c>
      <c r="AA47" s="9">
        <f t="shared" si="20"/>
        <v>-562307.29102594336</v>
      </c>
      <c r="AB47" s="9">
        <f t="shared" si="20"/>
        <v>-567930.36393620272</v>
      </c>
      <c r="AC47" s="9">
        <f t="shared" si="20"/>
        <v>-573609.66757556482</v>
      </c>
      <c r="AD47" s="9">
        <f t="shared" si="20"/>
        <v>-579345.76425132051</v>
      </c>
      <c r="AE47" s="9">
        <f t="shared" si="20"/>
        <v>-585139.22189383372</v>
      </c>
      <c r="AF47" s="9">
        <f t="shared" si="20"/>
        <v>-590990.61411277193</v>
      </c>
      <c r="AG47" s="9">
        <f t="shared" si="20"/>
        <v>-596900.52025389974</v>
      </c>
      <c r="AH47" s="9">
        <f t="shared" si="20"/>
        <v>-602869.52545643877</v>
      </c>
      <c r="AI47" s="9">
        <f t="shared" si="20"/>
        <v>-608898.22071100306</v>
      </c>
      <c r="AJ47" s="9">
        <f t="shared" si="20"/>
        <v>-614987.20291811321</v>
      </c>
      <c r="AK47" s="9">
        <f t="shared" si="20"/>
        <v>-621137.07494729431</v>
      </c>
      <c r="AL47" s="9">
        <f t="shared" si="20"/>
        <v>-627348.4456967673</v>
      </c>
    </row>
    <row r="48" spans="1:38" x14ac:dyDescent="0.2">
      <c r="A48" t="s">
        <v>74</v>
      </c>
      <c r="B48" t="s">
        <v>52</v>
      </c>
      <c r="C48" t="b">
        <v>0</v>
      </c>
      <c r="D48" s="10">
        <f>E48+NPV($K$5,F48:AK48)</f>
        <v>-2598095.2642673356</v>
      </c>
      <c r="E48" s="9">
        <f>IF(E$19&gt;ROUNDUP($B$14,0),IFERROR(IPMT($H$5,E$19-ROUNDUP($B$14,0),$H$6,IF($B$9="BOB",$H$12,$H$11)*(1-$H$7)),-0.01),0)</f>
        <v>0</v>
      </c>
      <c r="F48" s="9">
        <f t="shared" ref="F48:AL48" si="21">IF(F$19&gt;ROUNDUP($B$14,0),IFERROR(IPMT($H$5,F$19-ROUNDUP($B$14,0),$H$6,IF($B$9="BOB",$H$12,$H$11)*(1-$H$7)),-0.01),0)</f>
        <v>0</v>
      </c>
      <c r="G48" s="9">
        <f t="shared" si="21"/>
        <v>0</v>
      </c>
      <c r="H48" s="9">
        <f t="shared" si="21"/>
        <v>0</v>
      </c>
      <c r="I48" s="9">
        <f t="shared" si="21"/>
        <v>-229814.17199999999</v>
      </c>
      <c r="J48" s="9">
        <f t="shared" si="21"/>
        <v>-225113.18568806432</v>
      </c>
      <c r="K48" s="9">
        <f t="shared" si="21"/>
        <v>-220365.18951300927</v>
      </c>
      <c r="L48" s="9">
        <f t="shared" si="21"/>
        <v>-215569.7133762037</v>
      </c>
      <c r="M48" s="9">
        <f t="shared" si="21"/>
        <v>-210726.28247803004</v>
      </c>
      <c r="N48" s="9">
        <f t="shared" si="21"/>
        <v>-205834.41727087463</v>
      </c>
      <c r="O48" s="9">
        <f t="shared" si="21"/>
        <v>-200893.63341164775</v>
      </c>
      <c r="P48" s="9">
        <f t="shared" si="21"/>
        <v>-195903.44171382854</v>
      </c>
      <c r="Q48" s="9">
        <f t="shared" si="21"/>
        <v>-190863.34809903108</v>
      </c>
      <c r="R48" s="9">
        <f t="shared" si="21"/>
        <v>-185772.85354808572</v>
      </c>
      <c r="S48" s="9">
        <f t="shared" si="21"/>
        <v>-180631.45405163086</v>
      </c>
      <c r="T48" s="9">
        <f t="shared" si="21"/>
        <v>-175438.64056021156</v>
      </c>
      <c r="U48" s="9">
        <f t="shared" si="21"/>
        <v>-170193.89893387794</v>
      </c>
      <c r="V48" s="9">
        <f t="shared" si="21"/>
        <v>-164896.70989128103</v>
      </c>
      <c r="W48" s="9">
        <f t="shared" si="21"/>
        <v>-159546.54895825821</v>
      </c>
      <c r="X48" s="9">
        <f t="shared" si="21"/>
        <v>-154142.88641590509</v>
      </c>
      <c r="Y48" s="9">
        <f t="shared" si="21"/>
        <v>-148685.18724812844</v>
      </c>
      <c r="Z48" s="9">
        <f t="shared" si="21"/>
        <v>-143172.91108867401</v>
      </c>
      <c r="AA48" s="9">
        <f t="shared" si="21"/>
        <v>-137605.5121676251</v>
      </c>
      <c r="AB48" s="9">
        <f t="shared" si="21"/>
        <v>-131982.43925736565</v>
      </c>
      <c r="AC48" s="9">
        <f t="shared" si="21"/>
        <v>-126303.13561800362</v>
      </c>
      <c r="AD48" s="9">
        <f t="shared" si="21"/>
        <v>-120567.03894224798</v>
      </c>
      <c r="AE48" s="9">
        <f t="shared" si="21"/>
        <v>-114773.58129973475</v>
      </c>
      <c r="AF48" s="9">
        <f t="shared" si="21"/>
        <v>-108922.18908079644</v>
      </c>
      <c r="AG48" s="9">
        <f t="shared" si="21"/>
        <v>-103012.28293966872</v>
      </c>
      <c r="AH48" s="9">
        <f t="shared" si="21"/>
        <v>-97043.277737129683</v>
      </c>
      <c r="AI48" s="9">
        <f t="shared" si="21"/>
        <v>-91014.582482565325</v>
      </c>
      <c r="AJ48" s="9">
        <f t="shared" si="21"/>
        <v>-84925.60027545529</v>
      </c>
      <c r="AK48" s="9">
        <f t="shared" si="21"/>
        <v>-78775.728246274157</v>
      </c>
      <c r="AL48" s="9">
        <f t="shared" si="21"/>
        <v>-72564.357496801211</v>
      </c>
    </row>
    <row r="50" spans="1:38" x14ac:dyDescent="0.2">
      <c r="A50" s="8" t="s">
        <v>75</v>
      </c>
    </row>
    <row r="51" spans="1:38" s="16" customFormat="1" x14ac:dyDescent="0.2">
      <c r="A51" s="16" t="s">
        <v>76</v>
      </c>
      <c r="C51" s="16" t="b">
        <v>0</v>
      </c>
      <c r="D51" s="19">
        <f t="shared" ref="D51:D52" si="22">E51+NPV($K$5,F51:AK51)</f>
        <v>0</v>
      </c>
      <c r="E51" s="18">
        <v>0</v>
      </c>
      <c r="F51" s="18">
        <f>-E24-E40</f>
        <v>0</v>
      </c>
      <c r="G51" s="18">
        <f>-F24-F40</f>
        <v>0</v>
      </c>
      <c r="H51" s="18">
        <f t="shared" ref="H51:AL51" si="23">-G24-G40</f>
        <v>0</v>
      </c>
      <c r="I51" s="18">
        <f t="shared" si="23"/>
        <v>0</v>
      </c>
      <c r="J51" s="18">
        <f t="shared" si="23"/>
        <v>0</v>
      </c>
      <c r="K51" s="18">
        <f t="shared" si="23"/>
        <v>0</v>
      </c>
      <c r="L51" s="18">
        <f t="shared" si="23"/>
        <v>0</v>
      </c>
      <c r="M51" s="18">
        <f t="shared" si="23"/>
        <v>0</v>
      </c>
      <c r="N51" s="18">
        <f t="shared" si="23"/>
        <v>0</v>
      </c>
      <c r="O51" s="18">
        <f t="shared" si="23"/>
        <v>0</v>
      </c>
      <c r="P51" s="18">
        <f t="shared" si="23"/>
        <v>0</v>
      </c>
      <c r="Q51" s="18">
        <f t="shared" si="23"/>
        <v>0</v>
      </c>
      <c r="R51" s="18">
        <f t="shared" si="23"/>
        <v>0</v>
      </c>
      <c r="S51" s="18">
        <f t="shared" si="23"/>
        <v>0</v>
      </c>
      <c r="T51" s="18">
        <f t="shared" si="23"/>
        <v>0</v>
      </c>
      <c r="U51" s="18">
        <f t="shared" si="23"/>
        <v>0</v>
      </c>
      <c r="V51" s="18">
        <f t="shared" si="23"/>
        <v>0</v>
      </c>
      <c r="W51" s="18">
        <f t="shared" si="23"/>
        <v>0</v>
      </c>
      <c r="X51" s="18">
        <f t="shared" si="23"/>
        <v>0</v>
      </c>
      <c r="Y51" s="18">
        <f t="shared" si="23"/>
        <v>0</v>
      </c>
      <c r="Z51" s="18">
        <f t="shared" si="23"/>
        <v>0</v>
      </c>
      <c r="AA51" s="18">
        <f t="shared" si="23"/>
        <v>0</v>
      </c>
      <c r="AB51" s="18">
        <f t="shared" si="23"/>
        <v>0</v>
      </c>
      <c r="AC51" s="18">
        <f t="shared" si="23"/>
        <v>0</v>
      </c>
      <c r="AD51" s="18">
        <f t="shared" si="23"/>
        <v>0</v>
      </c>
      <c r="AE51" s="18">
        <f t="shared" si="23"/>
        <v>0</v>
      </c>
      <c r="AF51" s="18">
        <f t="shared" si="23"/>
        <v>0</v>
      </c>
      <c r="AG51" s="18">
        <f t="shared" si="23"/>
        <v>0</v>
      </c>
      <c r="AH51" s="18">
        <f t="shared" si="23"/>
        <v>0</v>
      </c>
      <c r="AI51" s="18">
        <f t="shared" si="23"/>
        <v>0</v>
      </c>
      <c r="AJ51" s="18">
        <f t="shared" si="23"/>
        <v>0</v>
      </c>
      <c r="AK51" s="18">
        <f t="shared" si="23"/>
        <v>0</v>
      </c>
      <c r="AL51" s="18">
        <f t="shared" si="23"/>
        <v>0</v>
      </c>
    </row>
    <row r="52" spans="1:38" x14ac:dyDescent="0.2">
      <c r="A52" t="s">
        <v>77</v>
      </c>
      <c r="B52" t="s">
        <v>52</v>
      </c>
      <c r="C52" t="b">
        <v>0</v>
      </c>
      <c r="D52" s="12">
        <f t="shared" si="22"/>
        <v>35064539.651343197</v>
      </c>
      <c r="E52" s="11">
        <f t="shared" ref="E52:AL52" si="24">SUMIFS(E$21:E$40,$B$21:$B$40,$B52)+E51</f>
        <v>-13866343.5</v>
      </c>
      <c r="F52" s="11">
        <f t="shared" si="24"/>
        <v>-13866343.5</v>
      </c>
      <c r="G52" s="11">
        <f t="shared" si="24"/>
        <v>-13866343.5</v>
      </c>
      <c r="H52" s="11">
        <f t="shared" si="24"/>
        <v>41599030.5</v>
      </c>
      <c r="I52" s="11">
        <f t="shared" si="24"/>
        <v>2136669.48</v>
      </c>
      <c r="J52" s="11">
        <f t="shared" si="24"/>
        <v>2179402.8695999999</v>
      </c>
      <c r="K52" s="11">
        <f t="shared" si="24"/>
        <v>2222990.9269920001</v>
      </c>
      <c r="L52" s="11">
        <f t="shared" si="24"/>
        <v>2267450.7455318398</v>
      </c>
      <c r="M52" s="11">
        <f t="shared" si="24"/>
        <v>2312799.7604424767</v>
      </c>
      <c r="N52" s="11">
        <f t="shared" si="24"/>
        <v>2359055.7556513264</v>
      </c>
      <c r="O52" s="11">
        <f t="shared" si="24"/>
        <v>2406236.8707643524</v>
      </c>
      <c r="P52" s="11">
        <f t="shared" si="24"/>
        <v>2454361.6081796396</v>
      </c>
      <c r="Q52" s="11">
        <f t="shared" si="24"/>
        <v>2503448.8403432327</v>
      </c>
      <c r="R52" s="11">
        <f t="shared" si="24"/>
        <v>-219750.88284990302</v>
      </c>
      <c r="S52" s="11">
        <f t="shared" si="24"/>
        <v>2604588.1734930989</v>
      </c>
      <c r="T52" s="11">
        <f t="shared" si="24"/>
        <v>2656679.9369629612</v>
      </c>
      <c r="U52" s="11">
        <f t="shared" si="24"/>
        <v>2709813.5357022202</v>
      </c>
      <c r="V52" s="11">
        <f t="shared" si="24"/>
        <v>2764009.8064162647</v>
      </c>
      <c r="W52" s="11">
        <f t="shared" si="24"/>
        <v>2819290.0025445898</v>
      </c>
      <c r="X52" s="11">
        <f t="shared" si="24"/>
        <v>2875675.8025954817</v>
      </c>
      <c r="Y52" s="11">
        <f t="shared" si="24"/>
        <v>2933189.3186473916</v>
      </c>
      <c r="Z52" s="11">
        <f t="shared" si="24"/>
        <v>2991853.1050203391</v>
      </c>
      <c r="AA52" s="11">
        <f t="shared" si="24"/>
        <v>3051690.1671207459</v>
      </c>
      <c r="AB52" s="11">
        <f t="shared" si="24"/>
        <v>339455.27046316094</v>
      </c>
      <c r="AC52" s="11">
        <f t="shared" si="24"/>
        <v>3174978.4498724244</v>
      </c>
      <c r="AD52" s="11">
        <f t="shared" si="24"/>
        <v>3238478.0188698727</v>
      </c>
      <c r="AE52" s="11">
        <f t="shared" si="24"/>
        <v>3303247.5792472693</v>
      </c>
      <c r="AF52" s="11">
        <f t="shared" si="24"/>
        <v>3369312.5308322152</v>
      </c>
      <c r="AG52" s="11">
        <f t="shared" si="24"/>
        <v>3436698.7814488593</v>
      </c>
      <c r="AH52" s="11">
        <f t="shared" si="24"/>
        <v>3505432.7570778369</v>
      </c>
      <c r="AI52" s="11">
        <f t="shared" si="24"/>
        <v>3575541.4122193931</v>
      </c>
      <c r="AJ52" s="11">
        <f t="shared" si="24"/>
        <v>3647052.2404637816</v>
      </c>
      <c r="AK52" s="11">
        <f t="shared" si="24"/>
        <v>3719993.2852730565</v>
      </c>
      <c r="AL52" s="11">
        <f t="shared" si="24"/>
        <v>1021124.450978518</v>
      </c>
    </row>
    <row r="53" spans="1:38" x14ac:dyDescent="0.2">
      <c r="A53" t="s">
        <v>78</v>
      </c>
      <c r="B53" t="s">
        <v>50</v>
      </c>
      <c r="C53" t="b">
        <v>0</v>
      </c>
      <c r="D53" s="10">
        <f>E53+NPV($K$5,F53:AK53)</f>
        <v>0</v>
      </c>
      <c r="E53" s="24">
        <f t="shared" ref="E53:AL53" si="25">IF(E19=ROUNDUP($B$14,0),-MIN(0,E52+E44),0)</f>
        <v>0</v>
      </c>
      <c r="F53" s="24">
        <f t="shared" si="25"/>
        <v>0</v>
      </c>
      <c r="G53" s="24">
        <f t="shared" si="25"/>
        <v>0</v>
      </c>
      <c r="H53" s="24">
        <f t="shared" si="25"/>
        <v>0</v>
      </c>
      <c r="I53" s="24">
        <f t="shared" si="25"/>
        <v>0</v>
      </c>
      <c r="J53" s="24">
        <f t="shared" si="25"/>
        <v>0</v>
      </c>
      <c r="K53" s="24">
        <f t="shared" si="25"/>
        <v>0</v>
      </c>
      <c r="L53" s="24">
        <f t="shared" si="25"/>
        <v>0</v>
      </c>
      <c r="M53" s="24">
        <f t="shared" si="25"/>
        <v>0</v>
      </c>
      <c r="N53" s="24">
        <f t="shared" si="25"/>
        <v>0</v>
      </c>
      <c r="O53" s="24">
        <f t="shared" si="25"/>
        <v>0</v>
      </c>
      <c r="P53" s="24">
        <f t="shared" si="25"/>
        <v>0</v>
      </c>
      <c r="Q53" s="24">
        <f t="shared" si="25"/>
        <v>0</v>
      </c>
      <c r="R53" s="24">
        <f t="shared" si="25"/>
        <v>0</v>
      </c>
      <c r="S53" s="24">
        <f t="shared" si="25"/>
        <v>0</v>
      </c>
      <c r="T53" s="24">
        <f t="shared" si="25"/>
        <v>0</v>
      </c>
      <c r="U53" s="24">
        <f t="shared" si="25"/>
        <v>0</v>
      </c>
      <c r="V53" s="24">
        <f t="shared" si="25"/>
        <v>0</v>
      </c>
      <c r="W53" s="24">
        <f t="shared" si="25"/>
        <v>0</v>
      </c>
      <c r="X53" s="24">
        <f t="shared" si="25"/>
        <v>0</v>
      </c>
      <c r="Y53" s="24">
        <f t="shared" si="25"/>
        <v>0</v>
      </c>
      <c r="Z53" s="24">
        <f t="shared" si="25"/>
        <v>0</v>
      </c>
      <c r="AA53" s="24">
        <f t="shared" si="25"/>
        <v>0</v>
      </c>
      <c r="AB53" s="24">
        <f t="shared" si="25"/>
        <v>0</v>
      </c>
      <c r="AC53" s="24">
        <f t="shared" si="25"/>
        <v>0</v>
      </c>
      <c r="AD53" s="24">
        <f t="shared" si="25"/>
        <v>0</v>
      </c>
      <c r="AE53" s="24">
        <f t="shared" si="25"/>
        <v>0</v>
      </c>
      <c r="AF53" s="24">
        <f t="shared" si="25"/>
        <v>0</v>
      </c>
      <c r="AG53" s="24">
        <f t="shared" si="25"/>
        <v>0</v>
      </c>
      <c r="AH53" s="24">
        <f t="shared" si="25"/>
        <v>0</v>
      </c>
      <c r="AI53" s="24">
        <f t="shared" si="25"/>
        <v>0</v>
      </c>
      <c r="AJ53" s="24">
        <f t="shared" si="25"/>
        <v>0</v>
      </c>
      <c r="AK53" s="24">
        <f t="shared" si="25"/>
        <v>0</v>
      </c>
      <c r="AL53" s="24">
        <f t="shared" si="25"/>
        <v>0</v>
      </c>
    </row>
    <row r="54" spans="1:38" x14ac:dyDescent="0.2">
      <c r="A54" t="s">
        <v>79</v>
      </c>
      <c r="B54" t="s">
        <v>50</v>
      </c>
      <c r="C54" t="b">
        <v>0</v>
      </c>
      <c r="D54" s="10">
        <f>E54+NPV($K$5,F54:AK54)</f>
        <v>1.2104882803967111E-2</v>
      </c>
      <c r="E54" s="9">
        <f t="shared" ref="E54:AL54" si="26">IF(E$19&gt;ROUNDUP($B$14,0),IF(E55&lt;&gt;-0.01,PPMT($K$7,E$19-ROUNDUP($B$14,0),$K$8,SUM($E$53:$AL$53)),0.01),0)</f>
        <v>0</v>
      </c>
      <c r="F54" s="9">
        <f t="shared" si="26"/>
        <v>0</v>
      </c>
      <c r="G54" s="9">
        <f t="shared" si="26"/>
        <v>0</v>
      </c>
      <c r="H54" s="9">
        <f t="shared" si="26"/>
        <v>0</v>
      </c>
      <c r="I54" s="9">
        <f t="shared" si="26"/>
        <v>0</v>
      </c>
      <c r="J54" s="9">
        <f t="shared" si="26"/>
        <v>0</v>
      </c>
      <c r="K54" s="9">
        <f t="shared" si="26"/>
        <v>0</v>
      </c>
      <c r="L54" s="9">
        <f t="shared" si="26"/>
        <v>0</v>
      </c>
      <c r="M54" s="9">
        <f t="shared" si="26"/>
        <v>0</v>
      </c>
      <c r="N54" s="9">
        <f t="shared" si="26"/>
        <v>0</v>
      </c>
      <c r="O54" s="9">
        <f t="shared" si="26"/>
        <v>0</v>
      </c>
      <c r="P54" s="9">
        <f t="shared" si="26"/>
        <v>0</v>
      </c>
      <c r="Q54" s="9">
        <f t="shared" si="26"/>
        <v>0</v>
      </c>
      <c r="R54" s="9">
        <f t="shared" si="26"/>
        <v>0</v>
      </c>
      <c r="S54" s="9">
        <f t="shared" si="26"/>
        <v>0</v>
      </c>
      <c r="T54" s="9">
        <f t="shared" si="26"/>
        <v>0</v>
      </c>
      <c r="U54" s="9">
        <f t="shared" si="26"/>
        <v>0</v>
      </c>
      <c r="V54" s="9">
        <f t="shared" si="26"/>
        <v>0</v>
      </c>
      <c r="W54" s="9">
        <f t="shared" si="26"/>
        <v>0</v>
      </c>
      <c r="X54" s="9">
        <f t="shared" si="26"/>
        <v>0</v>
      </c>
      <c r="Y54" s="9">
        <f t="shared" si="26"/>
        <v>0</v>
      </c>
      <c r="Z54" s="9">
        <f t="shared" si="26"/>
        <v>0</v>
      </c>
      <c r="AA54" s="9">
        <f t="shared" si="26"/>
        <v>0</v>
      </c>
      <c r="AB54" s="9">
        <f t="shared" si="26"/>
        <v>0</v>
      </c>
      <c r="AC54" s="9">
        <f t="shared" si="26"/>
        <v>0</v>
      </c>
      <c r="AD54" s="9">
        <f t="shared" si="26"/>
        <v>0</v>
      </c>
      <c r="AE54" s="9">
        <f t="shared" si="26"/>
        <v>0</v>
      </c>
      <c r="AF54" s="9">
        <f t="shared" si="26"/>
        <v>0</v>
      </c>
      <c r="AG54" s="9">
        <f t="shared" si="26"/>
        <v>0</v>
      </c>
      <c r="AH54" s="9">
        <f t="shared" si="26"/>
        <v>0.01</v>
      </c>
      <c r="AI54" s="9">
        <f t="shared" si="26"/>
        <v>0.01</v>
      </c>
      <c r="AJ54" s="9">
        <f t="shared" si="26"/>
        <v>0.01</v>
      </c>
      <c r="AK54" s="9">
        <f t="shared" si="26"/>
        <v>0.01</v>
      </c>
      <c r="AL54" s="9">
        <f t="shared" si="26"/>
        <v>0.01</v>
      </c>
    </row>
    <row r="55" spans="1:38" x14ac:dyDescent="0.2">
      <c r="A55" t="s">
        <v>80</v>
      </c>
      <c r="B55" t="s">
        <v>50</v>
      </c>
      <c r="C55" t="b">
        <v>0</v>
      </c>
      <c r="D55" s="10">
        <f>E55+NPV($K$5,F55:AK55)</f>
        <v>-1.2104882803967111E-2</v>
      </c>
      <c r="E55" s="9">
        <f t="shared" ref="E55:AL55" si="27">IF(E$19&gt;ROUNDUP($B$14,0),IFERROR(IPMT($K$7,E$19-ROUNDUP($B$14,0),$K$8,SUM($E$53:$AL$53)),-0.01),0)</f>
        <v>0</v>
      </c>
      <c r="F55" s="9">
        <f t="shared" si="27"/>
        <v>0</v>
      </c>
      <c r="G55" s="9">
        <f t="shared" si="27"/>
        <v>0</v>
      </c>
      <c r="H55" s="9">
        <f t="shared" si="27"/>
        <v>0</v>
      </c>
      <c r="I55" s="9">
        <f t="shared" si="27"/>
        <v>0</v>
      </c>
      <c r="J55" s="9">
        <f t="shared" si="27"/>
        <v>0</v>
      </c>
      <c r="K55" s="9">
        <f t="shared" si="27"/>
        <v>0</v>
      </c>
      <c r="L55" s="9">
        <f t="shared" si="27"/>
        <v>0</v>
      </c>
      <c r="M55" s="9">
        <f t="shared" si="27"/>
        <v>0</v>
      </c>
      <c r="N55" s="9">
        <f t="shared" si="27"/>
        <v>0</v>
      </c>
      <c r="O55" s="9">
        <f t="shared" si="27"/>
        <v>0</v>
      </c>
      <c r="P55" s="9">
        <f t="shared" si="27"/>
        <v>0</v>
      </c>
      <c r="Q55" s="9">
        <f t="shared" si="27"/>
        <v>0</v>
      </c>
      <c r="R55" s="9">
        <f t="shared" si="27"/>
        <v>0</v>
      </c>
      <c r="S55" s="9">
        <f t="shared" si="27"/>
        <v>0</v>
      </c>
      <c r="T55" s="9">
        <f t="shared" si="27"/>
        <v>0</v>
      </c>
      <c r="U55" s="9">
        <f t="shared" si="27"/>
        <v>0</v>
      </c>
      <c r="V55" s="9">
        <f t="shared" si="27"/>
        <v>0</v>
      </c>
      <c r="W55" s="9">
        <f t="shared" si="27"/>
        <v>0</v>
      </c>
      <c r="X55" s="9">
        <f t="shared" si="27"/>
        <v>0</v>
      </c>
      <c r="Y55" s="9">
        <f t="shared" si="27"/>
        <v>0</v>
      </c>
      <c r="Z55" s="9">
        <f t="shared" si="27"/>
        <v>0</v>
      </c>
      <c r="AA55" s="9">
        <f t="shared" si="27"/>
        <v>0</v>
      </c>
      <c r="AB55" s="9">
        <f t="shared" si="27"/>
        <v>0</v>
      </c>
      <c r="AC55" s="9">
        <f t="shared" si="27"/>
        <v>0</v>
      </c>
      <c r="AD55" s="9">
        <f t="shared" si="27"/>
        <v>0</v>
      </c>
      <c r="AE55" s="9">
        <f t="shared" si="27"/>
        <v>0</v>
      </c>
      <c r="AF55" s="9">
        <f t="shared" si="27"/>
        <v>0</v>
      </c>
      <c r="AG55" s="9">
        <f t="shared" si="27"/>
        <v>0</v>
      </c>
      <c r="AH55" s="9">
        <f t="shared" si="27"/>
        <v>-0.01</v>
      </c>
      <c r="AI55" s="9">
        <f t="shared" si="27"/>
        <v>-0.01</v>
      </c>
      <c r="AJ55" s="9">
        <f t="shared" si="27"/>
        <v>-0.01</v>
      </c>
      <c r="AK55" s="9">
        <f t="shared" si="27"/>
        <v>-0.01</v>
      </c>
      <c r="AL55" s="9">
        <f t="shared" si="27"/>
        <v>-0.01</v>
      </c>
    </row>
    <row r="57" spans="1:38" x14ac:dyDescent="0.2">
      <c r="A57" s="8" t="s">
        <v>81</v>
      </c>
    </row>
    <row r="58" spans="1:38" s="25" customFormat="1" x14ac:dyDescent="0.2">
      <c r="A58" s="25" t="s">
        <v>82</v>
      </c>
      <c r="B58" s="25" t="s">
        <v>50</v>
      </c>
      <c r="C58" s="25" t="b">
        <v>0</v>
      </c>
      <c r="D58" s="12">
        <f t="shared" ref="D58:D68" si="28">E58+NPV($K$5,F58:AK58)</f>
        <v>0</v>
      </c>
      <c r="E58" s="11">
        <f t="shared" ref="E58:AL58" si="29">SUMIFS(E$52:E$55,$B$52:$B$55,$B$58)+SUMIFS(E$44:E$48,$B$44:$B$48,$B$58)</f>
        <v>0</v>
      </c>
      <c r="F58" s="11">
        <f t="shared" si="29"/>
        <v>0</v>
      </c>
      <c r="G58" s="11">
        <f t="shared" si="29"/>
        <v>0</v>
      </c>
      <c r="H58" s="11">
        <f t="shared" si="29"/>
        <v>0</v>
      </c>
      <c r="I58" s="11">
        <f t="shared" si="29"/>
        <v>0</v>
      </c>
      <c r="J58" s="11">
        <f t="shared" si="29"/>
        <v>0</v>
      </c>
      <c r="K58" s="11">
        <f t="shared" si="29"/>
        <v>0</v>
      </c>
      <c r="L58" s="11">
        <f t="shared" si="29"/>
        <v>0</v>
      </c>
      <c r="M58" s="11">
        <f t="shared" si="29"/>
        <v>0</v>
      </c>
      <c r="N58" s="11">
        <f t="shared" si="29"/>
        <v>0</v>
      </c>
      <c r="O58" s="11">
        <f t="shared" si="29"/>
        <v>0</v>
      </c>
      <c r="P58" s="11">
        <f t="shared" si="29"/>
        <v>0</v>
      </c>
      <c r="Q58" s="11">
        <f t="shared" si="29"/>
        <v>0</v>
      </c>
      <c r="R58" s="11">
        <f t="shared" si="29"/>
        <v>0</v>
      </c>
      <c r="S58" s="11">
        <f t="shared" si="29"/>
        <v>0</v>
      </c>
      <c r="T58" s="11">
        <f t="shared" si="29"/>
        <v>0</v>
      </c>
      <c r="U58" s="11">
        <f t="shared" si="29"/>
        <v>0</v>
      </c>
      <c r="V58" s="11">
        <f t="shared" si="29"/>
        <v>0</v>
      </c>
      <c r="W58" s="11">
        <f t="shared" si="29"/>
        <v>0</v>
      </c>
      <c r="X58" s="11">
        <f t="shared" si="29"/>
        <v>0</v>
      </c>
      <c r="Y58" s="11">
        <f t="shared" si="29"/>
        <v>0</v>
      </c>
      <c r="Z58" s="11">
        <f t="shared" si="29"/>
        <v>0</v>
      </c>
      <c r="AA58" s="11">
        <f t="shared" si="29"/>
        <v>0</v>
      </c>
      <c r="AB58" s="11">
        <f t="shared" si="29"/>
        <v>0</v>
      </c>
      <c r="AC58" s="11">
        <f t="shared" si="29"/>
        <v>0</v>
      </c>
      <c r="AD58" s="11">
        <f t="shared" si="29"/>
        <v>0</v>
      </c>
      <c r="AE58" s="11">
        <f t="shared" si="29"/>
        <v>0</v>
      </c>
      <c r="AF58" s="11">
        <f t="shared" si="29"/>
        <v>0</v>
      </c>
      <c r="AG58" s="11">
        <f t="shared" si="29"/>
        <v>0</v>
      </c>
      <c r="AH58" s="11">
        <f t="shared" si="29"/>
        <v>0</v>
      </c>
      <c r="AI58" s="11">
        <f t="shared" si="29"/>
        <v>0</v>
      </c>
      <c r="AJ58" s="11">
        <f t="shared" si="29"/>
        <v>0</v>
      </c>
      <c r="AK58" s="11">
        <f t="shared" si="29"/>
        <v>0</v>
      </c>
      <c r="AL58" s="11">
        <f t="shared" si="29"/>
        <v>0</v>
      </c>
    </row>
    <row r="59" spans="1:38" s="25" customFormat="1" x14ac:dyDescent="0.2">
      <c r="A59" s="25" t="s">
        <v>82</v>
      </c>
      <c r="B59" s="25" t="s">
        <v>52</v>
      </c>
      <c r="C59" s="25" t="b">
        <v>0</v>
      </c>
      <c r="D59" s="12">
        <f t="shared" si="28"/>
        <v>9239078.6914347894</v>
      </c>
      <c r="E59" s="11">
        <f t="shared" ref="E59:AL59" si="30">SUMIFS(E$21:E$48,$B$21:$B$48,$B$59)</f>
        <v>-13866343.5</v>
      </c>
      <c r="F59" s="11">
        <f t="shared" si="30"/>
        <v>-13866343.5</v>
      </c>
      <c r="G59" s="11">
        <f t="shared" si="30"/>
        <v>-13866343.5</v>
      </c>
      <c r="H59" s="11">
        <f t="shared" si="30"/>
        <v>41599030.5</v>
      </c>
      <c r="I59" s="11">
        <f t="shared" si="30"/>
        <v>338118.59135895758</v>
      </c>
      <c r="J59" s="11">
        <f t="shared" si="30"/>
        <v>380851.98095895781</v>
      </c>
      <c r="K59" s="11">
        <f t="shared" si="30"/>
        <v>424440.03835095768</v>
      </c>
      <c r="L59" s="11">
        <f t="shared" si="30"/>
        <v>468899.85689079738</v>
      </c>
      <c r="M59" s="11">
        <f t="shared" si="30"/>
        <v>514248.87180143432</v>
      </c>
      <c r="N59" s="11">
        <f t="shared" si="30"/>
        <v>560504.8670102841</v>
      </c>
      <c r="O59" s="11">
        <f t="shared" si="30"/>
        <v>607685.98212330998</v>
      </c>
      <c r="P59" s="11">
        <f t="shared" si="30"/>
        <v>655810.71953859716</v>
      </c>
      <c r="Q59" s="11">
        <f t="shared" si="30"/>
        <v>704897.9517021908</v>
      </c>
      <c r="R59" s="11">
        <f t="shared" si="30"/>
        <v>-2018301.7714909452</v>
      </c>
      <c r="S59" s="11">
        <f t="shared" si="30"/>
        <v>806037.28485205653</v>
      </c>
      <c r="T59" s="11">
        <f t="shared" si="30"/>
        <v>858129.04832191882</v>
      </c>
      <c r="U59" s="11">
        <f t="shared" si="30"/>
        <v>911262.64706117776</v>
      </c>
      <c r="V59" s="11">
        <f t="shared" si="30"/>
        <v>965458.9177752221</v>
      </c>
      <c r="W59" s="11">
        <f t="shared" si="30"/>
        <v>1020739.1139035474</v>
      </c>
      <c r="X59" s="11">
        <f t="shared" si="30"/>
        <v>1077124.9139544396</v>
      </c>
      <c r="Y59" s="11">
        <f t="shared" si="30"/>
        <v>1134638.430006349</v>
      </c>
      <c r="Z59" s="11">
        <f t="shared" si="30"/>
        <v>1193302.2163792967</v>
      </c>
      <c r="AA59" s="11">
        <f t="shared" si="30"/>
        <v>1253139.2784797035</v>
      </c>
      <c r="AB59" s="11">
        <f t="shared" si="30"/>
        <v>-1459095.6181778812</v>
      </c>
      <c r="AC59" s="11">
        <f t="shared" si="30"/>
        <v>1376427.5612313822</v>
      </c>
      <c r="AD59" s="11">
        <f t="shared" si="30"/>
        <v>1439927.1302288305</v>
      </c>
      <c r="AE59" s="11">
        <f t="shared" si="30"/>
        <v>1504696.6906062269</v>
      </c>
      <c r="AF59" s="11">
        <f t="shared" si="30"/>
        <v>1570761.6421911728</v>
      </c>
      <c r="AG59" s="11">
        <f t="shared" si="30"/>
        <v>1638147.8928078169</v>
      </c>
      <c r="AH59" s="11">
        <f t="shared" si="30"/>
        <v>2805519.9538842686</v>
      </c>
      <c r="AI59" s="11">
        <f t="shared" si="30"/>
        <v>2875628.6090258248</v>
      </c>
      <c r="AJ59" s="11">
        <f t="shared" si="30"/>
        <v>2947139.4372702129</v>
      </c>
      <c r="AK59" s="11">
        <f t="shared" si="30"/>
        <v>3020080.4820794882</v>
      </c>
      <c r="AL59" s="11">
        <f t="shared" si="30"/>
        <v>321211.64778494951</v>
      </c>
    </row>
    <row r="60" spans="1:38" x14ac:dyDescent="0.2">
      <c r="A60" t="s">
        <v>83</v>
      </c>
      <c r="B60" t="s">
        <v>52</v>
      </c>
      <c r="C60" t="b">
        <v>0</v>
      </c>
      <c r="D60" s="10">
        <f t="shared" si="28"/>
        <v>0</v>
      </c>
      <c r="E60" s="9">
        <f>IF($B$9="BOB",IF(E$18=0,E58,IF(F$18=0,(F58/(1+$B$13))*(ROUNDUP($B$14,0)-$B$14),0))*(1+$K$14),0)</f>
        <v>0</v>
      </c>
      <c r="F60" s="9">
        <f t="shared" ref="F60:AL60" si="31">IF($B$9="BOB",IF(F$18=0,F58,IF(G$18=0,(G58/(1+$B$13))*(ROUNDUP($B$14,0)-$B$14),0))*(1+$K$14),0)</f>
        <v>0</v>
      </c>
      <c r="G60" s="9">
        <f t="shared" si="31"/>
        <v>0</v>
      </c>
      <c r="H60" s="9">
        <f t="shared" si="31"/>
        <v>0</v>
      </c>
      <c r="I60" s="9">
        <f t="shared" si="31"/>
        <v>0</v>
      </c>
      <c r="J60" s="9">
        <f t="shared" si="31"/>
        <v>0</v>
      </c>
      <c r="K60" s="9">
        <f t="shared" si="31"/>
        <v>0</v>
      </c>
      <c r="L60" s="9">
        <f t="shared" si="31"/>
        <v>0</v>
      </c>
      <c r="M60" s="9">
        <f t="shared" si="31"/>
        <v>0</v>
      </c>
      <c r="N60" s="9">
        <f t="shared" si="31"/>
        <v>0</v>
      </c>
      <c r="O60" s="9">
        <f t="shared" si="31"/>
        <v>0</v>
      </c>
      <c r="P60" s="9">
        <f t="shared" si="31"/>
        <v>0</v>
      </c>
      <c r="Q60" s="9">
        <f t="shared" si="31"/>
        <v>0</v>
      </c>
      <c r="R60" s="9">
        <f t="shared" si="31"/>
        <v>0</v>
      </c>
      <c r="S60" s="9">
        <f t="shared" si="31"/>
        <v>0</v>
      </c>
      <c r="T60" s="9">
        <f t="shared" si="31"/>
        <v>0</v>
      </c>
      <c r="U60" s="9">
        <f t="shared" si="31"/>
        <v>0</v>
      </c>
      <c r="V60" s="9">
        <f t="shared" si="31"/>
        <v>0</v>
      </c>
      <c r="W60" s="9">
        <f t="shared" si="31"/>
        <v>0</v>
      </c>
      <c r="X60" s="9">
        <f t="shared" si="31"/>
        <v>0</v>
      </c>
      <c r="Y60" s="9">
        <f t="shared" si="31"/>
        <v>0</v>
      </c>
      <c r="Z60" s="9">
        <f t="shared" si="31"/>
        <v>0</v>
      </c>
      <c r="AA60" s="9">
        <f t="shared" si="31"/>
        <v>0</v>
      </c>
      <c r="AB60" s="9">
        <f t="shared" si="31"/>
        <v>0</v>
      </c>
      <c r="AC60" s="9">
        <f t="shared" si="31"/>
        <v>0</v>
      </c>
      <c r="AD60" s="9">
        <f t="shared" si="31"/>
        <v>0</v>
      </c>
      <c r="AE60" s="9">
        <f t="shared" si="31"/>
        <v>0</v>
      </c>
      <c r="AF60" s="9">
        <f t="shared" si="31"/>
        <v>0</v>
      </c>
      <c r="AG60" s="9">
        <f t="shared" si="31"/>
        <v>0</v>
      </c>
      <c r="AH60" s="9">
        <f t="shared" si="31"/>
        <v>0</v>
      </c>
      <c r="AI60" s="9">
        <f t="shared" si="31"/>
        <v>0</v>
      </c>
      <c r="AJ60" s="9">
        <f t="shared" si="31"/>
        <v>0</v>
      </c>
      <c r="AK60" s="9">
        <f t="shared" si="31"/>
        <v>0</v>
      </c>
      <c r="AL60" s="9">
        <f t="shared" si="31"/>
        <v>0</v>
      </c>
    </row>
    <row r="61" spans="1:38" x14ac:dyDescent="0.2">
      <c r="A61" t="s">
        <v>84</v>
      </c>
      <c r="B61" t="s">
        <v>52</v>
      </c>
      <c r="C61" t="b">
        <f>B61="BOB"</f>
        <v>0</v>
      </c>
      <c r="D61" s="10">
        <f t="shared" si="28"/>
        <v>0</v>
      </c>
      <c r="E61" s="9">
        <f>-E60/(1+$B$11)</f>
        <v>0</v>
      </c>
      <c r="F61" s="9">
        <f t="shared" ref="F61:AL61" si="32">-F60/(1+$B$11)</f>
        <v>0</v>
      </c>
      <c r="G61" s="9">
        <f>-G60/(1+$B$11)</f>
        <v>0</v>
      </c>
      <c r="H61" s="9">
        <f t="shared" si="32"/>
        <v>0</v>
      </c>
      <c r="I61" s="9">
        <f t="shared" si="32"/>
        <v>0</v>
      </c>
      <c r="J61" s="9">
        <f t="shared" si="32"/>
        <v>0</v>
      </c>
      <c r="K61" s="9">
        <f t="shared" si="32"/>
        <v>0</v>
      </c>
      <c r="L61" s="9">
        <f t="shared" si="32"/>
        <v>0</v>
      </c>
      <c r="M61" s="9">
        <f t="shared" si="32"/>
        <v>0</v>
      </c>
      <c r="N61" s="9">
        <f t="shared" si="32"/>
        <v>0</v>
      </c>
      <c r="O61" s="9">
        <f t="shared" si="32"/>
        <v>0</v>
      </c>
      <c r="P61" s="9">
        <f t="shared" si="32"/>
        <v>0</v>
      </c>
      <c r="Q61" s="9">
        <f t="shared" si="32"/>
        <v>0</v>
      </c>
      <c r="R61" s="9">
        <f t="shared" si="32"/>
        <v>0</v>
      </c>
      <c r="S61" s="9">
        <f t="shared" si="32"/>
        <v>0</v>
      </c>
      <c r="T61" s="9">
        <f t="shared" si="32"/>
        <v>0</v>
      </c>
      <c r="U61" s="9">
        <f t="shared" si="32"/>
        <v>0</v>
      </c>
      <c r="V61" s="9">
        <f t="shared" si="32"/>
        <v>0</v>
      </c>
      <c r="W61" s="9">
        <f t="shared" si="32"/>
        <v>0</v>
      </c>
      <c r="X61" s="9">
        <f t="shared" si="32"/>
        <v>0</v>
      </c>
      <c r="Y61" s="9">
        <f t="shared" si="32"/>
        <v>0</v>
      </c>
      <c r="Z61" s="9">
        <f t="shared" si="32"/>
        <v>0</v>
      </c>
      <c r="AA61" s="9">
        <f t="shared" si="32"/>
        <v>0</v>
      </c>
      <c r="AB61" s="9">
        <f t="shared" si="32"/>
        <v>0</v>
      </c>
      <c r="AC61" s="9">
        <f t="shared" si="32"/>
        <v>0</v>
      </c>
      <c r="AD61" s="9">
        <f t="shared" si="32"/>
        <v>0</v>
      </c>
      <c r="AE61" s="9">
        <f t="shared" si="32"/>
        <v>0</v>
      </c>
      <c r="AF61" s="9">
        <f t="shared" si="32"/>
        <v>0</v>
      </c>
      <c r="AG61" s="9">
        <f t="shared" si="32"/>
        <v>0</v>
      </c>
      <c r="AH61" s="9">
        <f t="shared" si="32"/>
        <v>0</v>
      </c>
      <c r="AI61" s="9">
        <f t="shared" si="32"/>
        <v>0</v>
      </c>
      <c r="AJ61" s="9">
        <f t="shared" si="32"/>
        <v>0</v>
      </c>
      <c r="AK61" s="9">
        <f t="shared" si="32"/>
        <v>0</v>
      </c>
      <c r="AL61" s="9">
        <f t="shared" si="32"/>
        <v>0</v>
      </c>
    </row>
    <row r="62" spans="1:38" x14ac:dyDescent="0.2">
      <c r="A62" t="s">
        <v>85</v>
      </c>
      <c r="B62" t="str">
        <f>B21</f>
        <v>HMBA</v>
      </c>
      <c r="C62" t="b">
        <f>B62="BOB"</f>
        <v>0</v>
      </c>
      <c r="D62" s="10">
        <f t="shared" si="28"/>
        <v>-4874483.4158555362</v>
      </c>
      <c r="E62" s="9">
        <f t="shared" ref="E62" si="33">IF(E19&gt;$B$14,$E$14*$E$9*POWER(1+$B$13,E$19-ROUNDUP($B$14,0)),0)*IF(E$18=0,1,ROUNDUP($B$14,0)-$B$14)*IF($C62,1/(1+$B$7),1)</f>
        <v>0</v>
      </c>
      <c r="F62" s="9">
        <f>IF(F19&gt;$B$14,$E$14*$E$9*POWER(1+$B$13,F$19-ROUNDUP($B$14,0)),0)*IF(F$18=0,1,ROUNDUP($B$14,0)-$B$14)*IF($C62,1/(1+$B$7),1)</f>
        <v>0</v>
      </c>
      <c r="G62" s="9">
        <f t="shared" ref="G62:AL62" si="34">IF(G19&gt;$B$14,$E$14*$E$9*POWER(1+$B$13,G$19-ROUNDUP($B$14,0)),0)*IF(G$18=0,1,ROUNDUP($B$14,0)-$B$14)*IF($C62,1/(1+$B$7),1)</f>
        <v>0</v>
      </c>
      <c r="H62" s="9">
        <f t="shared" si="34"/>
        <v>0</v>
      </c>
      <c r="I62" s="9">
        <f t="shared" si="34"/>
        <v>-254690.022</v>
      </c>
      <c r="J62" s="9">
        <f t="shared" si="34"/>
        <v>-259783.82244000002</v>
      </c>
      <c r="K62" s="9">
        <f t="shared" si="34"/>
        <v>-264979.49888879998</v>
      </c>
      <c r="L62" s="9">
        <f t="shared" si="34"/>
        <v>-270279.08886657603</v>
      </c>
      <c r="M62" s="9">
        <f t="shared" si="34"/>
        <v>-275684.67064390751</v>
      </c>
      <c r="N62" s="9">
        <f t="shared" si="34"/>
        <v>-281198.36405678571</v>
      </c>
      <c r="O62" s="9">
        <f t="shared" si="34"/>
        <v>-286822.33133792132</v>
      </c>
      <c r="P62" s="9">
        <f t="shared" si="34"/>
        <v>-292558.77796467982</v>
      </c>
      <c r="Q62" s="9">
        <f t="shared" si="34"/>
        <v>-298409.95352397341</v>
      </c>
      <c r="R62" s="9">
        <f t="shared" si="34"/>
        <v>-304378.1525944529</v>
      </c>
      <c r="S62" s="9">
        <f t="shared" si="34"/>
        <v>-310465.71564634185</v>
      </c>
      <c r="T62" s="9">
        <f t="shared" si="34"/>
        <v>-316675.02995926875</v>
      </c>
      <c r="U62" s="9">
        <f t="shared" si="34"/>
        <v>-323008.53055845411</v>
      </c>
      <c r="V62" s="9">
        <f t="shared" si="34"/>
        <v>-329468.70116962324</v>
      </c>
      <c r="W62" s="9">
        <f t="shared" si="34"/>
        <v>-336058.07519301563</v>
      </c>
      <c r="X62" s="9">
        <f t="shared" si="34"/>
        <v>-342779.236696876</v>
      </c>
      <c r="Y62" s="9">
        <f t="shared" si="34"/>
        <v>-349634.82143081352</v>
      </c>
      <c r="Z62" s="9">
        <f t="shared" si="34"/>
        <v>-356627.51785942976</v>
      </c>
      <c r="AA62" s="9">
        <f t="shared" si="34"/>
        <v>-363760.06821661833</v>
      </c>
      <c r="AB62" s="9">
        <f t="shared" si="34"/>
        <v>-371035.26958095073</v>
      </c>
      <c r="AC62" s="9">
        <f t="shared" si="34"/>
        <v>-378455.97497256973</v>
      </c>
      <c r="AD62" s="9">
        <f t="shared" si="34"/>
        <v>-386025.09447202116</v>
      </c>
      <c r="AE62" s="9">
        <f t="shared" si="34"/>
        <v>-393745.5963614615</v>
      </c>
      <c r="AF62" s="9">
        <f t="shared" si="34"/>
        <v>-401620.50828869076</v>
      </c>
      <c r="AG62" s="9">
        <f t="shared" si="34"/>
        <v>-409652.91845446458</v>
      </c>
      <c r="AH62" s="9">
        <f t="shared" si="34"/>
        <v>-417845.97682355391</v>
      </c>
      <c r="AI62" s="9">
        <f t="shared" si="34"/>
        <v>-426202.89636002493</v>
      </c>
      <c r="AJ62" s="9">
        <f t="shared" si="34"/>
        <v>-434726.9542872255</v>
      </c>
      <c r="AK62" s="9">
        <f t="shared" si="34"/>
        <v>-443421.49337296991</v>
      </c>
      <c r="AL62" s="9">
        <f t="shared" si="34"/>
        <v>-452289.92324042937</v>
      </c>
    </row>
    <row r="63" spans="1:38" x14ac:dyDescent="0.2">
      <c r="A63" t="s">
        <v>86</v>
      </c>
      <c r="B63" t="str">
        <f>B22</f>
        <v>HMBA</v>
      </c>
      <c r="C63" t="b">
        <v>0</v>
      </c>
      <c r="D63" s="10">
        <f t="shared" si="28"/>
        <v>-7107837.9346453585</v>
      </c>
      <c r="E63" s="24">
        <f>IF(E19&gt;$B$14,$N$14*$E$5*POWER(1+$B$13,E$19-ROUNDUP($B$14,0)),0)*IF(E$18=0,1,ROUNDUP($B$14,0)-$B$14)</f>
        <v>0</v>
      </c>
      <c r="F63" s="24">
        <f t="shared" ref="F63:AL63" si="35">IF(F19&gt;$B$14,$N$14*$E$5*POWER(1+$B$13,F$19-ROUNDUP($B$14,0)),0)*IF(F$18=0,1,ROUNDUP($B$14,0)-$B$14)</f>
        <v>0</v>
      </c>
      <c r="G63" s="24">
        <f t="shared" si="35"/>
        <v>0</v>
      </c>
      <c r="H63" s="24">
        <f t="shared" si="35"/>
        <v>0</v>
      </c>
      <c r="I63" s="24">
        <f t="shared" si="35"/>
        <v>-371382</v>
      </c>
      <c r="J63" s="24">
        <f t="shared" si="35"/>
        <v>-378809.64</v>
      </c>
      <c r="K63" s="24">
        <f t="shared" si="35"/>
        <v>-386385.83279999997</v>
      </c>
      <c r="L63" s="24">
        <f t="shared" si="35"/>
        <v>-394113.54945599998</v>
      </c>
      <c r="M63" s="24">
        <f t="shared" si="35"/>
        <v>-401995.82044511999</v>
      </c>
      <c r="N63" s="24">
        <f t="shared" si="35"/>
        <v>-410035.73685402243</v>
      </c>
      <c r="O63" s="24">
        <f t="shared" si="35"/>
        <v>-418236.45159110276</v>
      </c>
      <c r="P63" s="24">
        <f t="shared" si="35"/>
        <v>-426601.18062292488</v>
      </c>
      <c r="Q63" s="24">
        <f t="shared" si="35"/>
        <v>-435133.20423538337</v>
      </c>
      <c r="R63" s="24">
        <f t="shared" si="35"/>
        <v>-443835.86832009105</v>
      </c>
      <c r="S63" s="24">
        <f t="shared" si="35"/>
        <v>-452712.58568649279</v>
      </c>
      <c r="T63" s="24">
        <f t="shared" si="35"/>
        <v>-461766.83740022272</v>
      </c>
      <c r="U63" s="24">
        <f t="shared" si="35"/>
        <v>-471002.17414822715</v>
      </c>
      <c r="V63" s="24">
        <f t="shared" si="35"/>
        <v>-480422.21763119177</v>
      </c>
      <c r="W63" s="24">
        <f t="shared" si="35"/>
        <v>-490030.66198381543</v>
      </c>
      <c r="X63" s="24">
        <f t="shared" si="35"/>
        <v>-499831.27522349183</v>
      </c>
      <c r="Y63" s="24">
        <f t="shared" si="35"/>
        <v>-509827.90072796174</v>
      </c>
      <c r="Z63" s="24">
        <f t="shared" si="35"/>
        <v>-520024.45874252089</v>
      </c>
      <c r="AA63" s="24">
        <f t="shared" si="35"/>
        <v>-530424.94791737129</v>
      </c>
      <c r="AB63" s="24">
        <f t="shared" si="35"/>
        <v>-541033.44687571877</v>
      </c>
      <c r="AC63" s="24">
        <f t="shared" si="35"/>
        <v>-551854.11581323307</v>
      </c>
      <c r="AD63" s="24">
        <f t="shared" si="35"/>
        <v>-562891.19812949782</v>
      </c>
      <c r="AE63" s="24">
        <f t="shared" si="35"/>
        <v>-574149.02209208766</v>
      </c>
      <c r="AF63" s="24">
        <f t="shared" si="35"/>
        <v>-585632.00253392942</v>
      </c>
      <c r="AG63" s="24">
        <f t="shared" si="35"/>
        <v>-597344.64258460805</v>
      </c>
      <c r="AH63" s="24">
        <f t="shared" si="35"/>
        <v>-609291.53543630021</v>
      </c>
      <c r="AI63" s="24">
        <f t="shared" si="35"/>
        <v>-621477.36614502617</v>
      </c>
      <c r="AJ63" s="24">
        <f t="shared" si="35"/>
        <v>-633906.91346792679</v>
      </c>
      <c r="AK63" s="24">
        <f t="shared" si="35"/>
        <v>-646585.05173728522</v>
      </c>
      <c r="AL63" s="24">
        <f t="shared" si="35"/>
        <v>-659516.752772031</v>
      </c>
    </row>
    <row r="64" spans="1:38" s="16" customFormat="1" x14ac:dyDescent="0.2">
      <c r="A64" s="15" t="s">
        <v>67</v>
      </c>
      <c r="B64" s="15" t="s">
        <v>50</v>
      </c>
      <c r="D64" s="19">
        <f t="shared" si="28"/>
        <v>0</v>
      </c>
      <c r="E64" s="18">
        <f>E61*$B$11</f>
        <v>0</v>
      </c>
      <c r="F64" s="18">
        <f t="shared" ref="F64:AL65" si="36">F61*$B$11</f>
        <v>0</v>
      </c>
      <c r="G64" s="18">
        <f t="shared" si="36"/>
        <v>0</v>
      </c>
      <c r="H64" s="18">
        <f t="shared" si="36"/>
        <v>0</v>
      </c>
      <c r="I64" s="18">
        <f t="shared" si="36"/>
        <v>0</v>
      </c>
      <c r="J64" s="18">
        <f t="shared" si="36"/>
        <v>0</v>
      </c>
      <c r="K64" s="18">
        <f t="shared" si="36"/>
        <v>0</v>
      </c>
      <c r="L64" s="18">
        <f t="shared" si="36"/>
        <v>0</v>
      </c>
      <c r="M64" s="18">
        <f t="shared" si="36"/>
        <v>0</v>
      </c>
      <c r="N64" s="18">
        <f t="shared" si="36"/>
        <v>0</v>
      </c>
      <c r="O64" s="18">
        <f t="shared" si="36"/>
        <v>0</v>
      </c>
      <c r="P64" s="18">
        <f t="shared" si="36"/>
        <v>0</v>
      </c>
      <c r="Q64" s="18">
        <f t="shared" si="36"/>
        <v>0</v>
      </c>
      <c r="R64" s="18">
        <f t="shared" si="36"/>
        <v>0</v>
      </c>
      <c r="S64" s="18">
        <f t="shared" si="36"/>
        <v>0</v>
      </c>
      <c r="T64" s="18">
        <f t="shared" si="36"/>
        <v>0</v>
      </c>
      <c r="U64" s="18">
        <f t="shared" si="36"/>
        <v>0</v>
      </c>
      <c r="V64" s="18">
        <f t="shared" si="36"/>
        <v>0</v>
      </c>
      <c r="W64" s="18">
        <f t="shared" si="36"/>
        <v>0</v>
      </c>
      <c r="X64" s="18">
        <f t="shared" si="36"/>
        <v>0</v>
      </c>
      <c r="Y64" s="18">
        <f t="shared" si="36"/>
        <v>0</v>
      </c>
      <c r="Z64" s="18">
        <f t="shared" si="36"/>
        <v>0</v>
      </c>
      <c r="AA64" s="18">
        <f t="shared" si="36"/>
        <v>0</v>
      </c>
      <c r="AB64" s="18">
        <f t="shared" si="36"/>
        <v>0</v>
      </c>
      <c r="AC64" s="18">
        <f t="shared" si="36"/>
        <v>0</v>
      </c>
      <c r="AD64" s="18">
        <f t="shared" si="36"/>
        <v>0</v>
      </c>
      <c r="AE64" s="18">
        <f t="shared" si="36"/>
        <v>0</v>
      </c>
      <c r="AF64" s="18">
        <f t="shared" si="36"/>
        <v>0</v>
      </c>
      <c r="AG64" s="18">
        <f t="shared" si="36"/>
        <v>0</v>
      </c>
      <c r="AH64" s="18">
        <f t="shared" si="36"/>
        <v>0</v>
      </c>
      <c r="AI64" s="18">
        <f t="shared" si="36"/>
        <v>0</v>
      </c>
      <c r="AJ64" s="18">
        <f t="shared" si="36"/>
        <v>0</v>
      </c>
      <c r="AK64" s="18">
        <f t="shared" si="36"/>
        <v>0</v>
      </c>
      <c r="AL64" s="18">
        <f t="shared" si="36"/>
        <v>0</v>
      </c>
    </row>
    <row r="65" spans="1:38" s="16" customFormat="1" x14ac:dyDescent="0.2">
      <c r="A65" s="15" t="s">
        <v>53</v>
      </c>
      <c r="B65" s="15" t="s">
        <v>50</v>
      </c>
      <c r="D65" s="19">
        <f t="shared" si="28"/>
        <v>-243724.17079277686</v>
      </c>
      <c r="E65" s="18">
        <f>E62*$B$11</f>
        <v>0</v>
      </c>
      <c r="F65" s="18">
        <f t="shared" si="36"/>
        <v>0</v>
      </c>
      <c r="G65" s="18">
        <f t="shared" si="36"/>
        <v>0</v>
      </c>
      <c r="H65" s="18">
        <f t="shared" si="36"/>
        <v>0</v>
      </c>
      <c r="I65" s="18">
        <f t="shared" si="36"/>
        <v>-12734.501100000001</v>
      </c>
      <c r="J65" s="18">
        <f t="shared" si="36"/>
        <v>-12989.191122000002</v>
      </c>
      <c r="K65" s="18">
        <f t="shared" si="36"/>
        <v>-13248.97494444</v>
      </c>
      <c r="L65" s="18">
        <f t="shared" si="36"/>
        <v>-13513.954443328803</v>
      </c>
      <c r="M65" s="18">
        <f t="shared" si="36"/>
        <v>-13784.233532195376</v>
      </c>
      <c r="N65" s="18">
        <f t="shared" si="36"/>
        <v>-14059.918202839286</v>
      </c>
      <c r="O65" s="18">
        <f t="shared" si="36"/>
        <v>-14341.116566896068</v>
      </c>
      <c r="P65" s="18">
        <f t="shared" si="36"/>
        <v>-14627.938898233991</v>
      </c>
      <c r="Q65" s="18">
        <f t="shared" si="36"/>
        <v>-14920.497676198671</v>
      </c>
      <c r="R65" s="18">
        <f t="shared" si="36"/>
        <v>-15218.907629722646</v>
      </c>
      <c r="S65" s="18">
        <f t="shared" si="36"/>
        <v>-15523.285782317093</v>
      </c>
      <c r="T65" s="18">
        <f t="shared" si="36"/>
        <v>-15833.751497963438</v>
      </c>
      <c r="U65" s="18">
        <f t="shared" si="36"/>
        <v>-16150.426527922706</v>
      </c>
      <c r="V65" s="18">
        <f t="shared" si="36"/>
        <v>-16473.435058481162</v>
      </c>
      <c r="W65" s="18">
        <f t="shared" si="36"/>
        <v>-16802.903759650781</v>
      </c>
      <c r="X65" s="18">
        <f t="shared" si="36"/>
        <v>-17138.961834843802</v>
      </c>
      <c r="Y65" s="18">
        <f t="shared" si="36"/>
        <v>-17481.741071540677</v>
      </c>
      <c r="Z65" s="18">
        <f t="shared" si="36"/>
        <v>-17831.37589297149</v>
      </c>
      <c r="AA65" s="18">
        <f t="shared" si="36"/>
        <v>-18188.003410830916</v>
      </c>
      <c r="AB65" s="18">
        <f t="shared" si="36"/>
        <v>-18551.763479047539</v>
      </c>
      <c r="AC65" s="18">
        <f t="shared" si="36"/>
        <v>-18922.798748628487</v>
      </c>
      <c r="AD65" s="18">
        <f t="shared" si="36"/>
        <v>-19301.254723601058</v>
      </c>
      <c r="AE65" s="18">
        <f t="shared" si="36"/>
        <v>-19687.279818073075</v>
      </c>
      <c r="AF65" s="18">
        <f t="shared" si="36"/>
        <v>-20081.025414434538</v>
      </c>
      <c r="AG65" s="18">
        <f t="shared" si="36"/>
        <v>-20482.64592272323</v>
      </c>
      <c r="AH65" s="18">
        <f t="shared" si="36"/>
        <v>-20892.298841177697</v>
      </c>
      <c r="AI65" s="18">
        <f t="shared" si="36"/>
        <v>-21310.144818001248</v>
      </c>
      <c r="AJ65" s="18">
        <f t="shared" si="36"/>
        <v>-21736.347714361276</v>
      </c>
      <c r="AK65" s="18">
        <f t="shared" si="36"/>
        <v>-22171.074668648496</v>
      </c>
      <c r="AL65" s="18">
        <f t="shared" si="36"/>
        <v>-22614.496162021471</v>
      </c>
    </row>
    <row r="67" spans="1:38" x14ac:dyDescent="0.2">
      <c r="A67" t="s">
        <v>87</v>
      </c>
      <c r="B67" t="s">
        <v>50</v>
      </c>
      <c r="D67" s="10">
        <f t="shared" si="28"/>
        <v>-15450.968947851163</v>
      </c>
      <c r="E67" s="9">
        <f>SUMIFS(E$58:E$65,$B$58:$B$65,$B67)</f>
        <v>0</v>
      </c>
      <c r="F67" s="9">
        <f>SUMIFS(F$58:F$65,$B$58:$B$65,$B67)-E65-E64</f>
        <v>0</v>
      </c>
      <c r="G67" s="9">
        <f t="shared" ref="G67:AL67" si="37">SUMIFS(G$58:G$65,$B$58:$B$65,$B67)-F65-F64</f>
        <v>0</v>
      </c>
      <c r="H67" s="9">
        <f t="shared" si="37"/>
        <v>0</v>
      </c>
      <c r="I67" s="9">
        <f t="shared" si="37"/>
        <v>-12734.501100000001</v>
      </c>
      <c r="J67" s="9">
        <f t="shared" si="37"/>
        <v>-254.69002200000068</v>
      </c>
      <c r="K67" s="9">
        <f t="shared" si="37"/>
        <v>-259.7838224399984</v>
      </c>
      <c r="L67" s="9">
        <f t="shared" si="37"/>
        <v>-264.97949888880248</v>
      </c>
      <c r="M67" s="9">
        <f t="shared" si="37"/>
        <v>-270.27908886657315</v>
      </c>
      <c r="N67" s="9">
        <f t="shared" si="37"/>
        <v>-275.68467064391007</v>
      </c>
      <c r="O67" s="9">
        <f t="shared" si="37"/>
        <v>-281.19836405678143</v>
      </c>
      <c r="P67" s="9">
        <f t="shared" si="37"/>
        <v>-286.82233133792397</v>
      </c>
      <c r="Q67" s="9">
        <f t="shared" si="37"/>
        <v>-292.55877796467939</v>
      </c>
      <c r="R67" s="9">
        <f t="shared" si="37"/>
        <v>-298.40995352397476</v>
      </c>
      <c r="S67" s="9">
        <f t="shared" si="37"/>
        <v>-304.37815259444687</v>
      </c>
      <c r="T67" s="9">
        <f t="shared" si="37"/>
        <v>-310.46571564634542</v>
      </c>
      <c r="U67" s="9">
        <f t="shared" si="37"/>
        <v>-316.6750299592677</v>
      </c>
      <c r="V67" s="9">
        <f t="shared" si="37"/>
        <v>-323.00853055845619</v>
      </c>
      <c r="W67" s="9">
        <f t="shared" si="37"/>
        <v>-329.46870116961873</v>
      </c>
      <c r="X67" s="9">
        <f t="shared" si="37"/>
        <v>-336.05807519302107</v>
      </c>
      <c r="Y67" s="9">
        <f t="shared" si="37"/>
        <v>-342.77923669687516</v>
      </c>
      <c r="Z67" s="9">
        <f t="shared" si="37"/>
        <v>-349.63482143081274</v>
      </c>
      <c r="AA67" s="9">
        <f t="shared" si="37"/>
        <v>-356.62751785942601</v>
      </c>
      <c r="AB67" s="9">
        <f t="shared" si="37"/>
        <v>-363.76006821662304</v>
      </c>
      <c r="AC67" s="9">
        <f t="shared" si="37"/>
        <v>-371.03526958094881</v>
      </c>
      <c r="AD67" s="9">
        <f t="shared" si="37"/>
        <v>-378.4559749725704</v>
      </c>
      <c r="AE67" s="9">
        <f t="shared" si="37"/>
        <v>-386.02509447201737</v>
      </c>
      <c r="AF67" s="9">
        <f t="shared" si="37"/>
        <v>-393.74559636146296</v>
      </c>
      <c r="AG67" s="9">
        <f t="shared" si="37"/>
        <v>-401.62050828869178</v>
      </c>
      <c r="AH67" s="9">
        <f t="shared" si="37"/>
        <v>-409.652918454467</v>
      </c>
      <c r="AI67" s="9">
        <f t="shared" si="37"/>
        <v>-417.84597682355161</v>
      </c>
      <c r="AJ67" s="9">
        <f t="shared" si="37"/>
        <v>-426.20289636002781</v>
      </c>
      <c r="AK67" s="9">
        <f t="shared" si="37"/>
        <v>-434.72695428722</v>
      </c>
      <c r="AL67" s="9">
        <f t="shared" si="37"/>
        <v>-443.42149337297451</v>
      </c>
    </row>
    <row r="68" spans="1:38" x14ac:dyDescent="0.2">
      <c r="A68" t="s">
        <v>87</v>
      </c>
      <c r="B68" t="s">
        <v>52</v>
      </c>
      <c r="D68" s="10">
        <f t="shared" si="28"/>
        <v>-2743242.6590661015</v>
      </c>
      <c r="E68" s="9">
        <f>SUMIFS(E$58:E$65,$B$58:$B$65,$B68)</f>
        <v>-13866343.5</v>
      </c>
      <c r="F68" s="9">
        <f t="shared" ref="F68:AL68" si="38">SUMIFS(F$58:F$65,$B$58:$B$65,$B68)</f>
        <v>-13866343.5</v>
      </c>
      <c r="G68" s="9">
        <f t="shared" si="38"/>
        <v>-13866343.5</v>
      </c>
      <c r="H68" s="9">
        <f t="shared" si="38"/>
        <v>41599030.5</v>
      </c>
      <c r="I68" s="9">
        <f t="shared" si="38"/>
        <v>-287953.43064104242</v>
      </c>
      <c r="J68" s="9">
        <f t="shared" si="38"/>
        <v>-257741.48148104222</v>
      </c>
      <c r="K68" s="9">
        <f t="shared" si="38"/>
        <v>-226925.29333784227</v>
      </c>
      <c r="L68" s="9">
        <f t="shared" si="38"/>
        <v>-195492.78143177863</v>
      </c>
      <c r="M68" s="9">
        <f t="shared" si="38"/>
        <v>-163431.61928759317</v>
      </c>
      <c r="N68" s="9">
        <f t="shared" si="38"/>
        <v>-130729.23390052404</v>
      </c>
      <c r="O68" s="9">
        <f t="shared" si="38"/>
        <v>-97372.800805714098</v>
      </c>
      <c r="P68" s="9">
        <f t="shared" si="38"/>
        <v>-63349.239049007534</v>
      </c>
      <c r="Q68" s="9">
        <f t="shared" si="38"/>
        <v>-28645.206057165982</v>
      </c>
      <c r="R68" s="9">
        <f t="shared" si="38"/>
        <v>-2766515.7924054894</v>
      </c>
      <c r="S68" s="9">
        <f t="shared" si="38"/>
        <v>42858.983519221889</v>
      </c>
      <c r="T68" s="9">
        <f t="shared" si="38"/>
        <v>79687.180962427345</v>
      </c>
      <c r="U68" s="9">
        <f t="shared" si="38"/>
        <v>117251.94235449651</v>
      </c>
      <c r="V68" s="9">
        <f t="shared" si="38"/>
        <v>155567.99897440703</v>
      </c>
      <c r="W68" s="9">
        <f t="shared" si="38"/>
        <v>194650.37672671635</v>
      </c>
      <c r="X68" s="9">
        <f t="shared" si="38"/>
        <v>234514.40203407174</v>
      </c>
      <c r="Y68" s="9">
        <f t="shared" si="38"/>
        <v>275175.70784757374</v>
      </c>
      <c r="Z68" s="9">
        <f t="shared" si="38"/>
        <v>316650.23977734603</v>
      </c>
      <c r="AA68" s="9">
        <f t="shared" si="38"/>
        <v>358954.2623457138</v>
      </c>
      <c r="AB68" s="9">
        <f t="shared" si="38"/>
        <v>-2371164.3346345508</v>
      </c>
      <c r="AC68" s="9">
        <f t="shared" si="38"/>
        <v>446117.47044557938</v>
      </c>
      <c r="AD68" s="9">
        <f t="shared" si="38"/>
        <v>491010.83762731159</v>
      </c>
      <c r="AE68" s="9">
        <f t="shared" si="38"/>
        <v>536802.07215267769</v>
      </c>
      <c r="AF68" s="9">
        <f t="shared" si="38"/>
        <v>583509.13136855257</v>
      </c>
      <c r="AG68" s="9">
        <f t="shared" si="38"/>
        <v>631150.33176874428</v>
      </c>
      <c r="AH68" s="9">
        <f t="shared" si="38"/>
        <v>1778382.4416244146</v>
      </c>
      <c r="AI68" s="9">
        <f t="shared" si="38"/>
        <v>1827948.3465207738</v>
      </c>
      <c r="AJ68" s="9">
        <f t="shared" si="38"/>
        <v>1878505.5695150606</v>
      </c>
      <c r="AK68" s="9">
        <f t="shared" si="38"/>
        <v>1930073.9369692332</v>
      </c>
      <c r="AL68" s="9">
        <f t="shared" si="38"/>
        <v>-790595.02822751086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384291-7371-4a1f-b8b1-5eb9ecae9b9a">
      <Terms xmlns="http://schemas.microsoft.com/office/infopath/2007/PartnerControls"/>
    </lcf76f155ced4ddcb4097134ff3c332f>
    <TaxCatchAll xmlns="918cc5dd-2bef-4b15-b764-2f574f9e100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B869F51B1B0242A12BB547FC7011BA" ma:contentTypeVersion="16" ma:contentTypeDescription="Create a new document." ma:contentTypeScope="" ma:versionID="caf1e7d156b37b07c4a39abd019a37c8">
  <xsd:schema xmlns:xsd="http://www.w3.org/2001/XMLSchema" xmlns:xs="http://www.w3.org/2001/XMLSchema" xmlns:p="http://schemas.microsoft.com/office/2006/metadata/properties" xmlns:ns2="918cc5dd-2bef-4b15-b764-2f574f9e100b" xmlns:ns3="52384291-7371-4a1f-b8b1-5eb9ecae9b9a" targetNamespace="http://schemas.microsoft.com/office/2006/metadata/properties" ma:root="true" ma:fieldsID="6a1a99b8655ca9a220832d41d1fa6065" ns2:_="" ns3:_="">
    <xsd:import namespace="918cc5dd-2bef-4b15-b764-2f574f9e100b"/>
    <xsd:import namespace="52384291-7371-4a1f-b8b1-5eb9ecae9b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8cc5dd-2bef-4b15-b764-2f574f9e100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79afe1a-8365-4df9-83d8-7469a913da2e}" ma:internalName="TaxCatchAll" ma:showField="CatchAllData" ma:web="918cc5dd-2bef-4b15-b764-2f574f9e10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384291-7371-4a1f-b8b1-5eb9ecae9b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030838e-00da-4545-923a-0f37a5c1b6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64EA89-DB75-4B19-98E1-6066F86C925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F0369F-E445-428B-BCD5-D0DB62CCBA56}">
  <ds:schemaRefs>
    <ds:schemaRef ds:uri="http://schemas.microsoft.com/office/2006/metadata/properties"/>
    <ds:schemaRef ds:uri="http://schemas.microsoft.com/office/infopath/2007/PartnerControls"/>
    <ds:schemaRef ds:uri="52384291-7371-4a1f-b8b1-5eb9ecae9b9a"/>
    <ds:schemaRef ds:uri="918cc5dd-2bef-4b15-b764-2f574f9e100b"/>
  </ds:schemaRefs>
</ds:datastoreItem>
</file>

<file path=customXml/itemProps3.xml><?xml version="1.0" encoding="utf-8"?>
<ds:datastoreItem xmlns:ds="http://schemas.openxmlformats.org/officeDocument/2006/customXml" ds:itemID="{8880940B-82F2-422B-ABD3-C434285AB2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8cc5dd-2bef-4b15-b764-2f574f9e100b"/>
    <ds:schemaRef ds:uri="52384291-7371-4a1f-b8b1-5eb9ecae9b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porovnanie_vsetky_projekty</vt:lpstr>
      <vt:lpstr>zitavska_porovnanie</vt:lpstr>
      <vt:lpstr>zitavska_BOB</vt:lpstr>
      <vt:lpstr>zitavska_HMBA</vt:lpstr>
      <vt:lpstr>antolska_porovnanie</vt:lpstr>
      <vt:lpstr>antolska_BOB</vt:lpstr>
      <vt:lpstr>antolska_HMBA</vt:lpstr>
      <vt:lpstr>navratkach_porovnanie</vt:lpstr>
      <vt:lpstr>navratkach_BOB</vt:lpstr>
      <vt:lpstr>navratkach_HMBA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Lupták Matúš, MA</dc:creator>
  <cp:keywords/>
  <dc:description/>
  <cp:lastModifiedBy>Matus Luptak</cp:lastModifiedBy>
  <cp:revision/>
  <dcterms:created xsi:type="dcterms:W3CDTF">2025-10-07T09:19:02Z</dcterms:created>
  <dcterms:modified xsi:type="dcterms:W3CDTF">2025-11-27T13:05:48Z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0x010100A3B869F51B1B0242A12BB547FC7011BA</vt:lpwstr>
  </property>
</Properties>
</file>