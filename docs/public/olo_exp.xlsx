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293b72959587e28/PAYT_ANALYSIS/model/public/"/>
    </mc:Choice>
  </mc:AlternateContent>
  <xr:revisionPtr revIDLastSave="47" documentId="8_{D30D7030-3FA5-FC45-89E7-75268989D8D6}" xr6:coauthVersionLast="47" xr6:coauthVersionMax="47" xr10:uidLastSave="{F4EFF69A-07F3-9546-A5AB-CAAE614B043B}"/>
  <bookViews>
    <workbookView xWindow="17720" yWindow="800" windowWidth="23400" windowHeight="23980" xr2:uid="{E219D4B1-7D27-470C-93D5-D94F3CBAEDA8}"/>
  </bookViews>
  <sheets>
    <sheet name="N HMBA 2025-2030 odhad" sheetId="1" r:id="rId1"/>
  </sheets>
  <externalReferences>
    <externalReference r:id="rId2"/>
  </externalReferences>
  <definedNames>
    <definedName name="A">#REF!</definedName>
    <definedName name="aaa">#REF!</definedName>
    <definedName name="Č_var_IP">#REF!</definedName>
    <definedName name="CC">#REF!</definedName>
    <definedName name="Charak_IP">#REF!</definedName>
    <definedName name="Ciel_IP">#REF!</definedName>
    <definedName name="Číslo_IP">#REF!</definedName>
    <definedName name="CSH">#REF!</definedName>
    <definedName name="data_A_1_2">#REF!</definedName>
    <definedName name="data_A_4_3">#REF!</definedName>
    <definedName name="DN">#REF!</definedName>
    <definedName name="f">#REF!</definedName>
    <definedName name="gg">#REF!</definedName>
    <definedName name="ggg">#REF!</definedName>
    <definedName name="HH">#REF!</definedName>
    <definedName name="kod">'[1]Investičný návrh projektu'!#REF!</definedName>
    <definedName name="kodY">#REF!</definedName>
    <definedName name="more_info...">#REF!</definedName>
    <definedName name="Náz_var_IP">#REF!</definedName>
    <definedName name="Názov_IP">#REF!</definedName>
    <definedName name="oc">'[1]Investičný návrh projektu'!#REF!</definedName>
    <definedName name="Ocenenie">#REF!</definedName>
    <definedName name="optimist">#REF!</definedName>
    <definedName name="pesimist">#REF!</definedName>
    <definedName name="PP">#REF!</definedName>
    <definedName name="Projekt">#REF!</definedName>
    <definedName name="real">#REF!</definedName>
    <definedName name="RR">#REF!</definedName>
    <definedName name="VMV">#REF!</definedName>
    <definedName name="vyhovuje">#REF!</definedName>
    <definedName name="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 l="1"/>
  <c r="I6" i="1"/>
  <c r="I5" i="1"/>
  <c r="I4" i="1"/>
  <c r="I3" i="1"/>
  <c r="D3" i="1" l="1"/>
  <c r="E3" i="1"/>
  <c r="F3" i="1" s="1"/>
  <c r="G3" i="1" s="1"/>
  <c r="H3" i="1" s="1"/>
  <c r="D4" i="1"/>
  <c r="E4" i="1"/>
  <c r="F4" i="1"/>
  <c r="G4" i="1"/>
  <c r="H4" i="1"/>
  <c r="D5" i="1"/>
  <c r="E5" i="1"/>
  <c r="F5" i="1"/>
  <c r="G5" i="1"/>
  <c r="H5" i="1"/>
  <c r="D6" i="1"/>
  <c r="E6" i="1" s="1"/>
  <c r="F6" i="1" s="1"/>
  <c r="G6" i="1" s="1"/>
  <c r="H6" i="1" s="1"/>
  <c r="D7" i="1"/>
  <c r="E7" i="1"/>
  <c r="F7" i="1"/>
  <c r="G7" i="1"/>
  <c r="H7" i="1"/>
  <c r="C4" i="1"/>
  <c r="C5" i="1"/>
  <c r="C6" i="1"/>
  <c r="C7" i="1"/>
  <c r="C3" i="1"/>
  <c r="B2" i="1"/>
</calcChain>
</file>

<file path=xl/sharedStrings.xml><?xml version="1.0" encoding="utf-8"?>
<sst xmlns="http://schemas.openxmlformats.org/spreadsheetml/2006/main" count="7" uniqueCount="7">
  <si>
    <t>NakladyOLO</t>
  </si>
  <si>
    <t>Rok</t>
  </si>
  <si>
    <t>Incineration</t>
  </si>
  <si>
    <t>Residential waste collection</t>
  </si>
  <si>
    <t>Green waste collection</t>
  </si>
  <si>
    <t>Organic waste collection</t>
  </si>
  <si>
    <t>Collection yards/points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</si>
</sst>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b/>
      <sz val="10"/>
      <color theme="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 vertical="top" wrapText="1"/>
    </xf>
    <xf numFmtId="0" fontId="1" fillId="3" borderId="0" xfId="0" applyFont="1" applyFill="1"/>
    <xf numFmtId="4" fontId="2" fillId="4" borderId="0" xfId="0" applyNumberFormat="1" applyFont="1" applyFill="1"/>
    <xf numFmtId="0" fontId="1" fillId="2" borderId="0" xfId="0" applyFont="1" applyFill="1"/>
    <xf numFmtId="3" fontId="1" fillId="0" borderId="0" xfId="0" applyNumberFormat="1" applyFont="1"/>
    <xf numFmtId="9" fontId="1" fillId="0" borderId="0" xfId="1" applyFo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C%20IPconnect_v081015_Proffesional_SIX_SITEL_vd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stičný návrh projektu"/>
      <sheetName val="Investments"/>
      <sheetName val="Roll out &amp; Justification"/>
      <sheetName val="OPEX"/>
      <sheetName val="Revenues"/>
      <sheetName val="Risk &amp; Technical Variants"/>
      <sheetName val="Financial calculation"/>
      <sheetName val="Cena služby IP connect"/>
      <sheetName val="IP technol_KAM-SI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C421B-B0F2-4821-ABB6-04D852D631D8}">
  <sheetPr>
    <tabColor theme="5" tint="-0.249977111117893"/>
  </sheetPr>
  <dimension ref="A1:I7"/>
  <sheetViews>
    <sheetView showGridLines="0" tabSelected="1" zoomScale="150" zoomScaleNormal="150" workbookViewId="0">
      <selection activeCell="I7" sqref="I7"/>
    </sheetView>
  </sheetViews>
  <sheetFormatPr baseColWidth="10" defaultColWidth="8.83203125" defaultRowHeight="15" x14ac:dyDescent="0.2"/>
  <cols>
    <col min="1" max="1" width="30.83203125" customWidth="1"/>
    <col min="2" max="2" width="10.83203125" bestFit="1" customWidth="1"/>
    <col min="3" max="8" width="12.33203125" bestFit="1" customWidth="1"/>
    <col min="10" max="10" width="12.5" bestFit="1" customWidth="1"/>
  </cols>
  <sheetData>
    <row r="1" spans="1:9" x14ac:dyDescent="0.2">
      <c r="A1" s="1" t="s">
        <v>1</v>
      </c>
      <c r="B1" s="2">
        <v>2024</v>
      </c>
      <c r="C1" s="2">
        <v>2025</v>
      </c>
      <c r="D1" s="2">
        <v>2026</v>
      </c>
      <c r="E1" s="2">
        <v>2027</v>
      </c>
      <c r="F1" s="2">
        <v>2028</v>
      </c>
      <c r="G1" s="2">
        <v>2029</v>
      </c>
      <c r="H1" s="2">
        <v>2030</v>
      </c>
    </row>
    <row r="2" spans="1:9" x14ac:dyDescent="0.2">
      <c r="A2" s="3" t="s">
        <v>0</v>
      </c>
      <c r="B2" s="4">
        <f>SUM(B3:B7)</f>
        <v>28067934</v>
      </c>
      <c r="C2" s="4">
        <v>28366977.080905046</v>
      </c>
      <c r="D2" s="4">
        <v>30099223.25836705</v>
      </c>
      <c r="E2" s="4">
        <v>30525195.955587134</v>
      </c>
      <c r="F2" s="4">
        <v>31075825.854476817</v>
      </c>
      <c r="G2" s="4">
        <v>31852721.500838734</v>
      </c>
      <c r="H2" s="4">
        <v>32649039.53835969</v>
      </c>
    </row>
    <row r="3" spans="1:9" x14ac:dyDescent="0.2">
      <c r="A3" s="5" t="s">
        <v>2</v>
      </c>
      <c r="B3" s="6">
        <v>9795084</v>
      </c>
      <c r="C3" s="6">
        <f>B3*C$2/B$2</f>
        <v>9899443.3766852859</v>
      </c>
      <c r="D3" s="6">
        <f t="shared" ref="D3:H3" si="0">C3*D$2/C$2</f>
        <v>10503958.722094011</v>
      </c>
      <c r="E3" s="6">
        <f t="shared" si="0"/>
        <v>10652613.708634071</v>
      </c>
      <c r="F3" s="6">
        <f t="shared" si="0"/>
        <v>10844771.282915667</v>
      </c>
      <c r="G3" s="6">
        <f t="shared" si="0"/>
        <v>11115890.564988557</v>
      </c>
      <c r="H3" s="6">
        <f t="shared" si="0"/>
        <v>11393787.829113267</v>
      </c>
      <c r="I3" s="7">
        <f>POWER(H3/B3,1/6)-1</f>
        <v>2.5518093612853621E-2</v>
      </c>
    </row>
    <row r="4" spans="1:9" x14ac:dyDescent="0.2">
      <c r="A4" s="5" t="s">
        <v>3</v>
      </c>
      <c r="B4" s="6">
        <v>9332300</v>
      </c>
      <c r="C4" s="6">
        <f t="shared" ref="C4:H7" si="1">B4*C$2/B$2</f>
        <v>9431728.7553879153</v>
      </c>
      <c r="D4" s="6">
        <f t="shared" si="1"/>
        <v>10007682.831734562</v>
      </c>
      <c r="E4" s="6">
        <f t="shared" si="1"/>
        <v>10149314.381896643</v>
      </c>
      <c r="F4" s="6">
        <f t="shared" si="1"/>
        <v>10332393.17228457</v>
      </c>
      <c r="G4" s="6">
        <f t="shared" si="1"/>
        <v>10590703.001591682</v>
      </c>
      <c r="H4" s="6">
        <f t="shared" si="1"/>
        <v>10855470.576631472</v>
      </c>
      <c r="I4" s="7">
        <f>POWER(H4/B4,1/6)-1</f>
        <v>2.5518093612853399E-2</v>
      </c>
    </row>
    <row r="5" spans="1:9" x14ac:dyDescent="0.2">
      <c r="A5" s="5" t="s">
        <v>4</v>
      </c>
      <c r="B5" s="6">
        <v>2450000</v>
      </c>
      <c r="C5" s="6">
        <f t="shared" si="1"/>
        <v>2476102.9382574921</v>
      </c>
      <c r="D5" s="6">
        <f t="shared" si="1"/>
        <v>2627307.6238172459</v>
      </c>
      <c r="E5" s="6">
        <f t="shared" si="1"/>
        <v>2664490.0223574876</v>
      </c>
      <c r="F5" s="6">
        <f t="shared" si="1"/>
        <v>2712553.5261508101</v>
      </c>
      <c r="G5" s="6">
        <f t="shared" si="1"/>
        <v>2780367.3643045798</v>
      </c>
      <c r="H5" s="6">
        <f t="shared" si="1"/>
        <v>2849876.5484121931</v>
      </c>
      <c r="I5" s="7">
        <f>POWER(H5/B5,1/6)-1</f>
        <v>2.5518093612853621E-2</v>
      </c>
    </row>
    <row r="6" spans="1:9" x14ac:dyDescent="0.2">
      <c r="A6" s="5" t="s">
        <v>5</v>
      </c>
      <c r="B6" s="6">
        <v>5598490</v>
      </c>
      <c r="C6" s="6">
        <f t="shared" si="1"/>
        <v>5658137.7709408924</v>
      </c>
      <c r="D6" s="6">
        <f t="shared" si="1"/>
        <v>6003655.2893324941</v>
      </c>
      <c r="E6" s="6">
        <f t="shared" si="1"/>
        <v>6088620.7123543555</v>
      </c>
      <c r="F6" s="6">
        <f t="shared" si="1"/>
        <v>6198450.5267836936</v>
      </c>
      <c r="G6" s="6">
        <f t="shared" si="1"/>
        <v>6353411.7899532849</v>
      </c>
      <c r="H6" s="6">
        <f t="shared" si="1"/>
        <v>6512247.0847021146</v>
      </c>
      <c r="I6" s="7">
        <f>POWER(H6/B6,1/6)-1</f>
        <v>2.5518093612853621E-2</v>
      </c>
    </row>
    <row r="7" spans="1:9" x14ac:dyDescent="0.2">
      <c r="A7" s="5" t="s">
        <v>6</v>
      </c>
      <c r="B7" s="6">
        <v>892060</v>
      </c>
      <c r="C7" s="6">
        <f t="shared" si="1"/>
        <v>901564.23963346065</v>
      </c>
      <c r="D7" s="6">
        <f t="shared" si="1"/>
        <v>956618.79138873972</v>
      </c>
      <c r="E7" s="6">
        <f t="shared" si="1"/>
        <v>970157.13034457981</v>
      </c>
      <c r="F7" s="6">
        <f t="shared" si="1"/>
        <v>987657.34634207829</v>
      </c>
      <c r="G7" s="6">
        <f t="shared" si="1"/>
        <v>1012348.7800006301</v>
      </c>
      <c r="H7" s="6">
        <f t="shared" si="1"/>
        <v>1037657.4995006454</v>
      </c>
      <c r="I7" s="7">
        <f>POWER(H7/B7,1/6)-1</f>
        <v>2.5518093612853621E-2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 HMBA 2025-2030 odhad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Sučko Ján</dc:creator>
  <cp:lastModifiedBy>Matus Luptak</cp:lastModifiedBy>
  <dcterms:created xsi:type="dcterms:W3CDTF">2025-09-26T07:04:10Z</dcterms:created>
  <dcterms:modified xsi:type="dcterms:W3CDTF">2026-01-16T09:23:45Z</dcterms:modified>
</cp:coreProperties>
</file>